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1" showHorizontalScroll="1" showVerticalScroll="1"/>
  </bookViews>
  <sheets>
    <sheet name="langs" sheetId="1" state="visible" r:id="rId1"/>
    <sheet name="errors" sheetId="2" state="visible" r:id="rId2"/>
    <sheet name="map-wiki" sheetId="3" state="visible" r:id="rId3"/>
    <sheet name="errors-wiki" sheetId="4" state="visible" r:id="rId4"/>
    <sheet name="map-bvi" sheetId="5" state="visible" r:id="rId5"/>
  </sheets>
  <definedNames>
    <definedName name="_xlnm._FilterDatabase" localSheetId="0" hidden="1">langs!$A$1:$F$58</definedName>
    <definedName name="_xlnm._FilterDatabase" localSheetId="1" hidden="1">errors!$A$1:$B$2</definedName>
    <definedName name="_xlnm._FilterDatabase" localSheetId="2" hidden="1">'map-wiki'!$A$1:$C$46</definedName>
    <definedName name="_xlnm._FilterDatabase" localSheetId="3" hidden="1">'errors-wiki'!$A$1:$D$5</definedName>
    <definedName name="_xlnm._FilterDatabase" localSheetId="4" hidden="1">'map-bvi'!$A$1:$E$50</definedName>
    <definedName name="_xlnm._FilterDatabase" localSheetId="0" hidden="1">langs!$A$1:$F$58</definedName>
    <definedName name="_xlnm._FilterDatabase" localSheetId="1" hidden="1">errors!$A$1:$C$2</definedName>
    <definedName name="_xlnm._FilterDatabase" localSheetId="2" hidden="1">'map-wiki'!$A$1:$C$46</definedName>
    <definedName name="_xlnm._FilterDatabase" localSheetId="3" hidden="1">'errors-wiki'!$A$1:$D$5</definedName>
    <definedName name="_xlnm._FilterDatabase" localSheetId="4" hidden="1">'map-bvi'!$A$1:$E$50</definedName>
  </definedName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<sst xmlns="http://schemas.openxmlformats.org/spreadsheetml/2006/main" count="417" uniqueCount="417">
  <si>
    <t>iso639-1</t>
  </si>
  <si>
    <t>name</t>
  </si>
  <si>
    <t>urlwd</t>
  </si>
  <si>
    <t>idwd</t>
  </si>
  <si>
    <t>iso639-3</t>
  </si>
  <si>
    <t>uri</t>
  </si>
  <si>
    <t>AR</t>
  </si>
  <si>
    <t>Arabic</t>
  </si>
  <si>
    <t>https://www.wikidata.org/wiki/Q13955</t>
  </si>
  <si>
    <t>Q13955</t>
  </si>
  <si>
    <t>ara</t>
  </si>
  <si>
    <t>AZ</t>
  </si>
  <si>
    <t>Azerbaijani</t>
  </si>
  <si>
    <t>https://www.wikidata.org/wiki/Q9292</t>
  </si>
  <si>
    <t>Q9292</t>
  </si>
  <si>
    <t>aze</t>
  </si>
  <si>
    <t>BA</t>
  </si>
  <si>
    <t>Bashkir</t>
  </si>
  <si>
    <t>https://www.wikidata.org/wiki/Q13389</t>
  </si>
  <si>
    <t>Q13389</t>
  </si>
  <si>
    <t>bak</t>
  </si>
  <si>
    <t>BE</t>
  </si>
  <si>
    <t>Belarusian</t>
  </si>
  <si>
    <t>https://www.wikidata.org/wiki/Q9091</t>
  </si>
  <si>
    <t>Q9091</t>
  </si>
  <si>
    <t>bel</t>
  </si>
  <si>
    <t>BG</t>
  </si>
  <si>
    <t>Bulgarian</t>
  </si>
  <si>
    <t>https://www.wikidata.org/wiki/Q7918</t>
  </si>
  <si>
    <t>Q7918</t>
  </si>
  <si>
    <t>bul</t>
  </si>
  <si>
    <t>BN</t>
  </si>
  <si>
    <t>Bengali</t>
  </si>
  <si>
    <t>https://www.wikidata.org/wiki/Q9610</t>
  </si>
  <si>
    <t>Q9610</t>
  </si>
  <si>
    <t>ben</t>
  </si>
  <si>
    <t>BR</t>
  </si>
  <si>
    <t>Breton</t>
  </si>
  <si>
    <t>https://www.wikidata.org/wiki/Q12107</t>
  </si>
  <si>
    <t>Q12107</t>
  </si>
  <si>
    <t>bre</t>
  </si>
  <si>
    <t>CA</t>
  </si>
  <si>
    <t>Catalan</t>
  </si>
  <si>
    <t>https://www.wikidata.org/wiki/Q7026</t>
  </si>
  <si>
    <t>Q7026</t>
  </si>
  <si>
    <t>cat</t>
  </si>
  <si>
    <t>CS</t>
  </si>
  <si>
    <t>Czech</t>
  </si>
  <si>
    <t>https://www.wikidata.org/wiki/Q9056</t>
  </si>
  <si>
    <t>Q9056</t>
  </si>
  <si>
    <t>ces</t>
  </si>
  <si>
    <t>DA</t>
  </si>
  <si>
    <t>Danish</t>
  </si>
  <si>
    <t>https://www.wikidata.org/wiki/Q9035</t>
  </si>
  <si>
    <t>Q9035</t>
  </si>
  <si>
    <t>dan</t>
  </si>
  <si>
    <t>DE</t>
  </si>
  <si>
    <t>German</t>
  </si>
  <si>
    <t>https://www.wikidata.org/wiki/Q188</t>
  </si>
  <si>
    <t>Q188</t>
  </si>
  <si>
    <t>deu</t>
  </si>
  <si>
    <t>EL</t>
  </si>
  <si>
    <t>Greek</t>
  </si>
  <si>
    <t>https://www.wikidata.org/wiki/Q9129</t>
  </si>
  <si>
    <t>Q9129</t>
  </si>
  <si>
    <t>ell</t>
  </si>
  <si>
    <t>EN</t>
  </si>
  <si>
    <t>English</t>
  </si>
  <si>
    <t>https://www.wikidata.org/wiki/Q1860</t>
  </si>
  <si>
    <t>Q1860</t>
  </si>
  <si>
    <t>eng</t>
  </si>
  <si>
    <t>EO</t>
  </si>
  <si>
    <t>Esperanto</t>
  </si>
  <si>
    <t>https://www.wikidata.org/wiki/Q143</t>
  </si>
  <si>
    <t>Q143</t>
  </si>
  <si>
    <t>epo</t>
  </si>
  <si>
    <t>ES</t>
  </si>
  <si>
    <t>Spanish</t>
  </si>
  <si>
    <t>https://www.wikidata.org/wiki/Q1321</t>
  </si>
  <si>
    <t>Q1321</t>
  </si>
  <si>
    <t>spa</t>
  </si>
  <si>
    <t>ET</t>
  </si>
  <si>
    <t>Estonian</t>
  </si>
  <si>
    <t>https://www.wikidata.org/wiki/Q9072</t>
  </si>
  <si>
    <t>Q9072</t>
  </si>
  <si>
    <t>est</t>
  </si>
  <si>
    <t>EU</t>
  </si>
  <si>
    <t>Basque</t>
  </si>
  <si>
    <t>https://www.wikidata.org/wiki/Q8752</t>
  </si>
  <si>
    <t>Q8752</t>
  </si>
  <si>
    <t>eus</t>
  </si>
  <si>
    <t>FA</t>
  </si>
  <si>
    <t>Persian</t>
  </si>
  <si>
    <t>https://www.wikidata.org/wiki/Q9168</t>
  </si>
  <si>
    <t>Q9168</t>
  </si>
  <si>
    <t>fas</t>
  </si>
  <si>
    <t>FI</t>
  </si>
  <si>
    <t>Finnish</t>
  </si>
  <si>
    <t>https://www.wikidata.org/wiki/Q1412</t>
  </si>
  <si>
    <t>Q1412</t>
  </si>
  <si>
    <t>fin</t>
  </si>
  <si>
    <t>FR</t>
  </si>
  <si>
    <t>French</t>
  </si>
  <si>
    <t>https://www.wikidata.org/wiki/Q150</t>
  </si>
  <si>
    <t>Q150</t>
  </si>
  <si>
    <t>fra</t>
  </si>
  <si>
    <t>GL</t>
  </si>
  <si>
    <t>Galician</t>
  </si>
  <si>
    <t>https://www.wikidata.org/wiki/Q9307</t>
  </si>
  <si>
    <t>Q9307</t>
  </si>
  <si>
    <t>glg</t>
  </si>
  <si>
    <t>HE</t>
  </si>
  <si>
    <t>Hebrew</t>
  </si>
  <si>
    <t>https://www.wikidata.org/wiki/Q9288</t>
  </si>
  <si>
    <t>Q9288</t>
  </si>
  <si>
    <t>heb</t>
  </si>
  <si>
    <t>HI</t>
  </si>
  <si>
    <t>Hindi</t>
  </si>
  <si>
    <t>https://www.wikidata.org/wiki/Q1568</t>
  </si>
  <si>
    <t>Q1568</t>
  </si>
  <si>
    <t>hin</t>
  </si>
  <si>
    <t>HR</t>
  </si>
  <si>
    <t>Croatian</t>
  </si>
  <si>
    <t>https://www.wikidata.org/wiki/Q6654</t>
  </si>
  <si>
    <t>Q6654</t>
  </si>
  <si>
    <t>hrv</t>
  </si>
  <si>
    <t>HU</t>
  </si>
  <si>
    <t>Hungarian</t>
  </si>
  <si>
    <t>https://www.wikidata.org/wiki/Q9067</t>
  </si>
  <si>
    <t>Q9067</t>
  </si>
  <si>
    <t>hun</t>
  </si>
  <si>
    <t>HY</t>
  </si>
  <si>
    <t>Armenian</t>
  </si>
  <si>
    <t>https://www.wikidata.org/wiki/Q8785</t>
  </si>
  <si>
    <t>Q8785</t>
  </si>
  <si>
    <t>hye</t>
  </si>
  <si>
    <t>IT</t>
  </si>
  <si>
    <t>Italian</t>
  </si>
  <si>
    <t>https://www.wikidata.org/wiki/Q652</t>
  </si>
  <si>
    <t>Q652</t>
  </si>
  <si>
    <t>ita</t>
  </si>
  <si>
    <t>JA</t>
  </si>
  <si>
    <t>Japanese</t>
  </si>
  <si>
    <t>https://www.wikidata.org/wiki/Q5287</t>
  </si>
  <si>
    <t>Q5287</t>
  </si>
  <si>
    <t>jpn</t>
  </si>
  <si>
    <t>KA</t>
  </si>
  <si>
    <t>Georgian</t>
  </si>
  <si>
    <t>https://www.wikidata.org/wiki/Q8108</t>
  </si>
  <si>
    <t>Q8108</t>
  </si>
  <si>
    <t>kat</t>
  </si>
  <si>
    <t>KK</t>
  </si>
  <si>
    <t>Kazakh</t>
  </si>
  <si>
    <t>https://www.wikidata.org/wiki/Q9252</t>
  </si>
  <si>
    <t>Q9252</t>
  </si>
  <si>
    <t>kaz</t>
  </si>
  <si>
    <t>KO</t>
  </si>
  <si>
    <t>Korean</t>
  </si>
  <si>
    <t>https://www.wikidata.org/wiki/Q9176</t>
  </si>
  <si>
    <t>Q9176</t>
  </si>
  <si>
    <t>kor</t>
  </si>
  <si>
    <t>LT</t>
  </si>
  <si>
    <t>Lithuanian</t>
  </si>
  <si>
    <t>https://www.wikidata.org/wiki/Q9083</t>
  </si>
  <si>
    <t>Q9083</t>
  </si>
  <si>
    <t>lit</t>
  </si>
  <si>
    <t>LV</t>
  </si>
  <si>
    <t>Latvian</t>
  </si>
  <si>
    <t>https://www.wikidata.org/wiki/Q9078</t>
  </si>
  <si>
    <t>Q9078</t>
  </si>
  <si>
    <t>lav</t>
  </si>
  <si>
    <t>MK</t>
  </si>
  <si>
    <t>Macedonian</t>
  </si>
  <si>
    <t>https://www.wikidata.org/wiki/Q9296</t>
  </si>
  <si>
    <t>Q9296</t>
  </si>
  <si>
    <t>mkd</t>
  </si>
  <si>
    <t>MN</t>
  </si>
  <si>
    <t>Mongolian</t>
  </si>
  <si>
    <t>https://www.wikidata.org/wiki/Q9246</t>
  </si>
  <si>
    <t>Q9246</t>
  </si>
  <si>
    <t>mon</t>
  </si>
  <si>
    <t>NL</t>
  </si>
  <si>
    <t>Dutch</t>
  </si>
  <si>
    <t>https://www.wikidata.org/wiki/Q7411</t>
  </si>
  <si>
    <t>Q7411</t>
  </si>
  <si>
    <t>nld</t>
  </si>
  <si>
    <t>NO</t>
  </si>
  <si>
    <t>Norwegian</t>
  </si>
  <si>
    <t>https://www.wikidata.org/wiki/Q9043</t>
  </si>
  <si>
    <t>Q9043</t>
  </si>
  <si>
    <t>nor</t>
  </si>
  <si>
    <t>PL</t>
  </si>
  <si>
    <t>Polish</t>
  </si>
  <si>
    <t>https://www.wikidata.org/wiki/Q809</t>
  </si>
  <si>
    <t>Q809</t>
  </si>
  <si>
    <t>pol</t>
  </si>
  <si>
    <t>PT</t>
  </si>
  <si>
    <t>Portugese</t>
  </si>
  <si>
    <t>https://www.wikidata.org/wiki/Q5146</t>
  </si>
  <si>
    <t>Q5146</t>
  </si>
  <si>
    <t>por</t>
  </si>
  <si>
    <t>RO</t>
  </si>
  <si>
    <t>Romanian</t>
  </si>
  <si>
    <t>https://www.wikidata.org/wiki/Q7913</t>
  </si>
  <si>
    <t>Q7913</t>
  </si>
  <si>
    <t>ron</t>
  </si>
  <si>
    <t>RU</t>
  </si>
  <si>
    <t>Russian</t>
  </si>
  <si>
    <t>https://www.wikidata.org/wiki/Q7737</t>
  </si>
  <si>
    <t>Q7737</t>
  </si>
  <si>
    <t>rus</t>
  </si>
  <si>
    <t>SK</t>
  </si>
  <si>
    <t>Slovak</t>
  </si>
  <si>
    <t>https://www.wikidata.org/wiki/Q9058</t>
  </si>
  <si>
    <t>Q9058</t>
  </si>
  <si>
    <t>slk</t>
  </si>
  <si>
    <t>SL</t>
  </si>
  <si>
    <t>Slovenian</t>
  </si>
  <si>
    <t>https://www.wikidata.org/wiki/Q9063</t>
  </si>
  <si>
    <t>Q9063</t>
  </si>
  <si>
    <t>slv</t>
  </si>
  <si>
    <t>SQ</t>
  </si>
  <si>
    <t>Albanian</t>
  </si>
  <si>
    <t>https://www.wikidata.org/wiki/Q8748</t>
  </si>
  <si>
    <t>Q8748</t>
  </si>
  <si>
    <t>sqi</t>
  </si>
  <si>
    <t>SR</t>
  </si>
  <si>
    <t>Serbian</t>
  </si>
  <si>
    <t>https://www.wikidata.org/wiki/Q9299</t>
  </si>
  <si>
    <t>Q9299</t>
  </si>
  <si>
    <t>srp</t>
  </si>
  <si>
    <t>SV</t>
  </si>
  <si>
    <t>Swedish</t>
  </si>
  <si>
    <t>https://www.wikidata.org/wiki/Q9027</t>
  </si>
  <si>
    <t>Q9027</t>
  </si>
  <si>
    <t>swe</t>
  </si>
  <si>
    <t>TR</t>
  </si>
  <si>
    <t>Turkish</t>
  </si>
  <si>
    <t>https://www.wikidata.org/wiki/Q256</t>
  </si>
  <si>
    <t>Q256</t>
  </si>
  <si>
    <t>tur</t>
  </si>
  <si>
    <t>UK</t>
  </si>
  <si>
    <t>Ukrainian</t>
  </si>
  <si>
    <t>https://www.wikidata.org/wiki/Q8798</t>
  </si>
  <si>
    <t>Q8798</t>
  </si>
  <si>
    <t>ukr</t>
  </si>
  <si>
    <t>UZ</t>
  </si>
  <si>
    <t>Uzbek</t>
  </si>
  <si>
    <t>https://www.wikidata.org/wiki/Q9264</t>
  </si>
  <si>
    <t>Q9264</t>
  </si>
  <si>
    <t>uzb</t>
  </si>
  <si>
    <t>VI</t>
  </si>
  <si>
    <t>Vietnamese</t>
  </si>
  <si>
    <t>https://www.wikidata.org/wiki/Q9199</t>
  </si>
  <si>
    <t>Q9199</t>
  </si>
  <si>
    <t>vie</t>
  </si>
  <si>
    <t>ZH</t>
  </si>
  <si>
    <t>Chinese</t>
  </si>
  <si>
    <t>https://www.wikidata.org/wiki/Q7850</t>
  </si>
  <si>
    <t>Q7850</t>
  </si>
  <si>
    <t>zho</t>
  </si>
  <si>
    <t>KY</t>
  </si>
  <si>
    <t>Kyrgyz</t>
  </si>
  <si>
    <t>https://www.wikidata.org/wiki/Q9255</t>
  </si>
  <si>
    <t>Q9255</t>
  </si>
  <si>
    <t>kir</t>
  </si>
  <si>
    <t>SH</t>
  </si>
  <si>
    <t>Serbo-Croatian</t>
  </si>
  <si>
    <t>https://www.wikidata.org/wiki/Q9301</t>
  </si>
  <si>
    <t>Q9301</t>
  </si>
  <si>
    <t>hbs</t>
  </si>
  <si>
    <t>Filipino</t>
  </si>
  <si>
    <t>https://www.wikidata.org/wiki/Q33298</t>
  </si>
  <si>
    <t>Q33298</t>
  </si>
  <si>
    <t>fil</t>
  </si>
  <si>
    <t>MO</t>
  </si>
  <si>
    <t>Moldovan</t>
  </si>
  <si>
    <t>https://www.wikidata.org/wiki/Q36392</t>
  </si>
  <si>
    <t>Q36392</t>
  </si>
  <si>
    <t>mol</t>
  </si>
  <si>
    <t>SI</t>
  </si>
  <si>
    <t>Sinhala</t>
  </si>
  <si>
    <t>https://www.wikidata.org/wiki/Q13267</t>
  </si>
  <si>
    <t>Q13267</t>
  </si>
  <si>
    <t>sin</t>
  </si>
  <si>
    <t>TT</t>
  </si>
  <si>
    <t>Tatar</t>
  </si>
  <si>
    <t>https://www.wikidata.org/wiki/Q25285</t>
  </si>
  <si>
    <t>Q25285</t>
  </si>
  <si>
    <t>tat</t>
  </si>
  <si>
    <t>is</t>
  </si>
  <si>
    <t>shouldbe</t>
  </si>
  <si>
    <t>МК</t>
  </si>
  <si>
    <t>key</t>
  </si>
  <si>
    <t>albanian</t>
  </si>
  <si>
    <t>arabic</t>
  </si>
  <si>
    <t>armenian</t>
  </si>
  <si>
    <t>azerbaijani</t>
  </si>
  <si>
    <t>belarusian</t>
  </si>
  <si>
    <t>bulgarian</t>
  </si>
  <si>
    <t>catalan</t>
  </si>
  <si>
    <t>chinese</t>
  </si>
  <si>
    <t>croatian</t>
  </si>
  <si>
    <t>czech</t>
  </si>
  <si>
    <t>danish</t>
  </si>
  <si>
    <t>dutch</t>
  </si>
  <si>
    <t>english</t>
  </si>
  <si>
    <t>esperanto</t>
  </si>
  <si>
    <t>estonian</t>
  </si>
  <si>
    <t>filipino</t>
  </si>
  <si>
    <t>finnish</t>
  </si>
  <si>
    <t>french</t>
  </si>
  <si>
    <t>georgian</t>
  </si>
  <si>
    <t>german</t>
  </si>
  <si>
    <t>greek</t>
  </si>
  <si>
    <t>hebrew</t>
  </si>
  <si>
    <t>hungarian</t>
  </si>
  <si>
    <t>italian</t>
  </si>
  <si>
    <t>japanese</t>
  </si>
  <si>
    <t>korean</t>
  </si>
  <si>
    <t>latvian</t>
  </si>
  <si>
    <t>lithuanian</t>
  </si>
  <si>
    <t>macedonian</t>
  </si>
  <si>
    <t>moldovan</t>
  </si>
  <si>
    <t>norwegian</t>
  </si>
  <si>
    <t>persian</t>
  </si>
  <si>
    <t>polish</t>
  </si>
  <si>
    <t>portugese</t>
  </si>
  <si>
    <t>romanian</t>
  </si>
  <si>
    <t>russian</t>
  </si>
  <si>
    <t>serbian</t>
  </si>
  <si>
    <t>serbo-croatian</t>
  </si>
  <si>
    <t>slovak</t>
  </si>
  <si>
    <t>slovenian</t>
  </si>
  <si>
    <t>spanish</t>
  </si>
  <si>
    <t>swedish</t>
  </si>
  <si>
    <t>turkish</t>
  </si>
  <si>
    <t>ukrainian</t>
  </si>
  <si>
    <t>vietnamese</t>
  </si>
  <si>
    <t>belorussian</t>
  </si>
  <si>
    <t>itlian</t>
  </si>
  <si>
    <t>moldavian</t>
  </si>
  <si>
    <t>portuguese</t>
  </si>
  <si>
    <t>alb</t>
  </si>
  <si>
    <t>sq</t>
  </si>
  <si>
    <t>ang</t>
  </si>
  <si>
    <t>en</t>
  </si>
  <si>
    <t>ar</t>
  </si>
  <si>
    <t>arm</t>
  </si>
  <si>
    <t>hy</t>
  </si>
  <si>
    <t>azb</t>
  </si>
  <si>
    <t>az</t>
  </si>
  <si>
    <t>bas</t>
  </si>
  <si>
    <t>ba</t>
  </si>
  <si>
    <t>be</t>
  </si>
  <si>
    <t>bol</t>
  </si>
  <si>
    <t>bg</t>
  </si>
  <si>
    <t>cs</t>
  </si>
  <si>
    <t>dat</t>
  </si>
  <si>
    <t>da</t>
  </si>
  <si>
    <t>esp</t>
  </si>
  <si>
    <t>eo</t>
  </si>
  <si>
    <t>et</t>
  </si>
  <si>
    <t>fi</t>
  </si>
  <si>
    <t>fr</t>
  </si>
  <si>
    <t>gol</t>
  </si>
  <si>
    <t>nl</t>
  </si>
  <si>
    <t>gre</t>
  </si>
  <si>
    <t>el</t>
  </si>
  <si>
    <t>gru</t>
  </si>
  <si>
    <t>ka</t>
  </si>
  <si>
    <t>hr</t>
  </si>
  <si>
    <t>isp</t>
  </si>
  <si>
    <t>es</t>
  </si>
  <si>
    <t>it</t>
  </si>
  <si>
    <t>ivr</t>
  </si>
  <si>
    <t>he</t>
  </si>
  <si>
    <t>ca</t>
  </si>
  <si>
    <t>kk</t>
  </si>
  <si>
    <t>kit</t>
  </si>
  <si>
    <t>zh</t>
  </si>
  <si>
    <t>ko</t>
  </si>
  <si>
    <t>lat</t>
  </si>
  <si>
    <t>lv</t>
  </si>
  <si>
    <t>lt</t>
  </si>
  <si>
    <t>mak</t>
  </si>
  <si>
    <t>mk</t>
  </si>
  <si>
    <t>mo</t>
  </si>
  <si>
    <t>mn</t>
  </si>
  <si>
    <t>nem</t>
  </si>
  <si>
    <t>de</t>
  </si>
  <si>
    <t>no</t>
  </si>
  <si>
    <t>pl</t>
  </si>
  <si>
    <t>pt</t>
  </si>
  <si>
    <t>rum</t>
  </si>
  <si>
    <t>ro</t>
  </si>
  <si>
    <t>ru</t>
  </si>
  <si>
    <t>shv</t>
  </si>
  <si>
    <t>sh</t>
  </si>
  <si>
    <t>si</t>
  </si>
  <si>
    <t>sln</t>
  </si>
  <si>
    <t>sl</t>
  </si>
  <si>
    <t>slo</t>
  </si>
  <si>
    <t>sk</t>
  </si>
  <si>
    <t>srb</t>
  </si>
  <si>
    <t>sr</t>
  </si>
  <si>
    <t>sve</t>
  </si>
  <si>
    <t>sv</t>
  </si>
  <si>
    <t>tt</t>
  </si>
  <si>
    <t>tr</t>
  </si>
  <si>
    <t>uk</t>
  </si>
  <si>
    <t>uz</t>
  </si>
  <si>
    <t>ven</t>
  </si>
  <si>
    <t>hu</t>
  </si>
  <si>
    <t>vi</t>
  </si>
  <si>
    <t>tak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</si>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</sst>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</font>
    <font>
      <sz val="10.000000"/>
      <name val="Arial"/>
    </font>
    <font>
      <b/>
      <sz val="11.000000"/>
      <color theme="1"/>
      <name val="Calibri"/>
    </font>
    <font>
      <sz val="10.000000"/>
      <color indexed="4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7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2" fillId="0" borderId="0" numFmtId="0" xfId="0" applyFont="1" applyProtection="1">
      <protection hidden="0" locked="1"/>
    </xf>
    <xf fontId="2" fillId="0" borderId="0" numFmtId="0" xfId="0" applyFont="1" applyProtection="0">
      <protection hidden="0" locked="1"/>
    </xf>
    <xf fontId="3" fillId="0" borderId="0" numFmtId="0" xfId="0" applyFont="1" applyProtection="1">
      <protection hidden="0" locked="1"/>
    </xf>
    <xf fontId="0" fillId="0" borderId="0" numFmtId="0" xfId="0" applyAlignment="1" applyProtection="1">
      <alignment wrapText="1"/>
      <protection hidden="0" locked="1"/>
    </xf>
    <xf fontId="0" fillId="0" borderId="0" numFmtId="0" xfId="0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wikidata.org/wiki/Q13955" TargetMode="External"/><Relationship  Id="rId10" Type="http://schemas.openxmlformats.org/officeDocument/2006/relationships/hyperlink" Target="https://www.wikidata.org/wiki/Q9035" TargetMode="External"/><Relationship  Id="rId11" Type="http://schemas.openxmlformats.org/officeDocument/2006/relationships/hyperlink" Target="https://www.wikidata.org/wiki/Q188" TargetMode="External"/><Relationship  Id="rId12" Type="http://schemas.openxmlformats.org/officeDocument/2006/relationships/hyperlink" Target="https://www.wikidata.org/wiki/Q9129" TargetMode="External"/><Relationship  Id="rId13" Type="http://schemas.openxmlformats.org/officeDocument/2006/relationships/hyperlink" Target="https://www.wikidata.org/wiki/Q1860" TargetMode="External"/><Relationship  Id="rId14" Type="http://schemas.openxmlformats.org/officeDocument/2006/relationships/hyperlink" Target="https://www.wikidata.org/wiki/Q143" TargetMode="External"/><Relationship  Id="rId15" Type="http://schemas.openxmlformats.org/officeDocument/2006/relationships/hyperlink" Target="https://www.wikidata.org/wiki/Q1321" TargetMode="External"/><Relationship  Id="rId16" Type="http://schemas.openxmlformats.org/officeDocument/2006/relationships/hyperlink" Target="https://www.wikidata.org/wiki/Q9072" TargetMode="External"/><Relationship  Id="rId17" Type="http://schemas.openxmlformats.org/officeDocument/2006/relationships/hyperlink" Target="https://www.wikidata.org/wiki/Q8752" TargetMode="External"/><Relationship  Id="rId18" Type="http://schemas.openxmlformats.org/officeDocument/2006/relationships/hyperlink" Target="https://www.wikidata.org/wiki/Q9168" TargetMode="External"/><Relationship  Id="rId19" Type="http://schemas.openxmlformats.org/officeDocument/2006/relationships/hyperlink" Target="https://www.wikidata.org/wiki/Q1412" TargetMode="External"/><Relationship  Id="rId2" Type="http://schemas.openxmlformats.org/officeDocument/2006/relationships/hyperlink" Target="https://www.wikidata.org/wiki/Q9292" TargetMode="External"/><Relationship  Id="rId20" Type="http://schemas.openxmlformats.org/officeDocument/2006/relationships/hyperlink" Target="https://www.wikidata.org/wiki/Q150" TargetMode="External"/><Relationship  Id="rId21" Type="http://schemas.openxmlformats.org/officeDocument/2006/relationships/hyperlink" Target="https://www.wikidata.org/wiki/Q9307" TargetMode="External"/><Relationship  Id="rId22" Type="http://schemas.openxmlformats.org/officeDocument/2006/relationships/hyperlink" Target="https://www.wikidata.org/wiki/Q9288" TargetMode="External"/><Relationship  Id="rId23" Type="http://schemas.openxmlformats.org/officeDocument/2006/relationships/hyperlink" Target="https://www.wikidata.org/wiki/Q1568" TargetMode="External"/><Relationship  Id="rId24" Type="http://schemas.openxmlformats.org/officeDocument/2006/relationships/hyperlink" Target="https://www.wikidata.org/wiki/Q6654" TargetMode="External"/><Relationship  Id="rId25" Type="http://schemas.openxmlformats.org/officeDocument/2006/relationships/hyperlink" Target="https://www.wikidata.org/wiki/Q9067" TargetMode="External"/><Relationship  Id="rId26" Type="http://schemas.openxmlformats.org/officeDocument/2006/relationships/hyperlink" Target="https://www.wikidata.org/wiki/Q8785" TargetMode="External"/><Relationship  Id="rId27" Type="http://schemas.openxmlformats.org/officeDocument/2006/relationships/hyperlink" Target="https://www.wikidata.org/wiki/Q652" TargetMode="External"/><Relationship  Id="rId28" Type="http://schemas.openxmlformats.org/officeDocument/2006/relationships/hyperlink" Target="https://www.wikidata.org/wiki/Q5287" TargetMode="External"/><Relationship  Id="rId29" Type="http://schemas.openxmlformats.org/officeDocument/2006/relationships/hyperlink" Target="https://www.wikidata.org/wiki/Q8108" TargetMode="External"/><Relationship  Id="rId3" Type="http://schemas.openxmlformats.org/officeDocument/2006/relationships/hyperlink" Target="https://www.wikidata.org/wiki/Q13389" TargetMode="External"/><Relationship  Id="rId30" Type="http://schemas.openxmlformats.org/officeDocument/2006/relationships/hyperlink" Target="https://www.wikidata.org/wiki/Q9252" TargetMode="External"/><Relationship  Id="rId31" Type="http://schemas.openxmlformats.org/officeDocument/2006/relationships/hyperlink" Target="https://www.wikidata.org/wiki/Q9176" TargetMode="External"/><Relationship  Id="rId32" Type="http://schemas.openxmlformats.org/officeDocument/2006/relationships/hyperlink" Target="https://www.wikidata.org/wiki/Q9083" TargetMode="External"/><Relationship  Id="rId33" Type="http://schemas.openxmlformats.org/officeDocument/2006/relationships/hyperlink" Target="https://www.wikidata.org/wiki/Q9078" TargetMode="External"/><Relationship  Id="rId34" Type="http://schemas.openxmlformats.org/officeDocument/2006/relationships/hyperlink" Target="https://www.wikidata.org/wiki/Q9296" TargetMode="External"/><Relationship  Id="rId35" Type="http://schemas.openxmlformats.org/officeDocument/2006/relationships/hyperlink" Target="https://www.wikidata.org/wiki/Q9246" TargetMode="External"/><Relationship  Id="rId36" Type="http://schemas.openxmlformats.org/officeDocument/2006/relationships/hyperlink" Target="https://www.wikidata.org/wiki/Q7411" TargetMode="External"/><Relationship  Id="rId37" Type="http://schemas.openxmlformats.org/officeDocument/2006/relationships/hyperlink" Target="https://www.wikidata.org/wiki/Q9043" TargetMode="External"/><Relationship  Id="rId38" Type="http://schemas.openxmlformats.org/officeDocument/2006/relationships/hyperlink" Target="https://www.wikidata.org/wiki/Q809" TargetMode="External"/><Relationship  Id="rId39" Type="http://schemas.openxmlformats.org/officeDocument/2006/relationships/hyperlink" Target="https://www.wikidata.org/wiki/Q5146" TargetMode="External"/><Relationship  Id="rId4" Type="http://schemas.openxmlformats.org/officeDocument/2006/relationships/hyperlink" Target="https://www.wikidata.org/wiki/Q9091" TargetMode="External"/><Relationship  Id="rId40" Type="http://schemas.openxmlformats.org/officeDocument/2006/relationships/hyperlink" Target="https://www.wikidata.org/wiki/Q7913" TargetMode="External"/><Relationship  Id="rId41" Type="http://schemas.openxmlformats.org/officeDocument/2006/relationships/hyperlink" Target="https://www.wikidata.org/wiki/Q7737" TargetMode="External"/><Relationship  Id="rId42" Type="http://schemas.openxmlformats.org/officeDocument/2006/relationships/hyperlink" Target="https://www.wikidata.org/wiki/Q9058" TargetMode="External"/><Relationship  Id="rId43" Type="http://schemas.openxmlformats.org/officeDocument/2006/relationships/hyperlink" Target="https://www.wikidata.org/wiki/Q9063" TargetMode="External"/><Relationship  Id="rId44" Type="http://schemas.openxmlformats.org/officeDocument/2006/relationships/hyperlink" Target="https://www.wikidata.org/wiki/Q8748" TargetMode="External"/><Relationship  Id="rId45" Type="http://schemas.openxmlformats.org/officeDocument/2006/relationships/hyperlink" Target="https://www.wikidata.org/wiki/Q9299" TargetMode="External"/><Relationship  Id="rId46" Type="http://schemas.openxmlformats.org/officeDocument/2006/relationships/hyperlink" Target="https://www.wikidata.org/wiki/Q9027" TargetMode="External"/><Relationship  Id="rId47" Type="http://schemas.openxmlformats.org/officeDocument/2006/relationships/hyperlink" Target="https://www.wikidata.org/wiki/Q256" TargetMode="External"/><Relationship  Id="rId48" Type="http://schemas.openxmlformats.org/officeDocument/2006/relationships/hyperlink" Target="https://www.wikidata.org/wiki/Q8798" TargetMode="External"/><Relationship  Id="rId49" Type="http://schemas.openxmlformats.org/officeDocument/2006/relationships/hyperlink" Target="https://www.wikidata.org/wiki/Q9264" TargetMode="External"/><Relationship  Id="rId5" Type="http://schemas.openxmlformats.org/officeDocument/2006/relationships/hyperlink" Target="https://www.wikidata.org/wiki/Q7918" TargetMode="External"/><Relationship  Id="rId50" Type="http://schemas.openxmlformats.org/officeDocument/2006/relationships/hyperlink" Target="https://www.wikidata.org/wiki/Q9199" TargetMode="External"/><Relationship  Id="rId51" Type="http://schemas.openxmlformats.org/officeDocument/2006/relationships/hyperlink" Target="https://www.wikidata.org/wiki/Q7850" TargetMode="External"/><Relationship  Id="rId52" Type="http://schemas.openxmlformats.org/officeDocument/2006/relationships/hyperlink" Target="https://www.wikidata.org/wiki/Q9255" TargetMode="External"/><Relationship  Id="rId53" Type="http://schemas.openxmlformats.org/officeDocument/2006/relationships/hyperlink" Target="https://www.wikidata.org/wiki/Q9301" TargetMode="External"/><Relationship  Id="rId54" Type="http://schemas.openxmlformats.org/officeDocument/2006/relationships/hyperlink" Target="https://www.wikidata.org/wiki/Q33298" TargetMode="External"/><Relationship  Id="rId55" Type="http://schemas.openxmlformats.org/officeDocument/2006/relationships/hyperlink" Target="https://www.wikidata.org/wiki/Q36392" TargetMode="External"/><Relationship  Id="rId56" Type="http://schemas.openxmlformats.org/officeDocument/2006/relationships/hyperlink" Target="https://www.wikidata.org/wiki/Q13267" TargetMode="External"/><Relationship  Id="rId57" Type="http://schemas.openxmlformats.org/officeDocument/2006/relationships/hyperlink" Target="https://www.wikidata.org/wiki/Q25285" TargetMode="External"/><Relationship  Id="rId6" Type="http://schemas.openxmlformats.org/officeDocument/2006/relationships/hyperlink" Target="https://www.wikidata.org/wiki/Q9610" TargetMode="External"/><Relationship  Id="rId7" Type="http://schemas.openxmlformats.org/officeDocument/2006/relationships/hyperlink" Target="https://www.wikidata.org/wiki/Q12107" TargetMode="External"/><Relationship  Id="rId8" Type="http://schemas.openxmlformats.org/officeDocument/2006/relationships/hyperlink" Target="https://www.wikidata.org/wiki/Q7026" TargetMode="External"/><Relationship  Id="rId9" Type="http://schemas.openxmlformats.org/officeDocument/2006/relationships/hyperlink" Target="https://www.wikidata.org/wiki/Q90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H60" activeCellId="0" sqref="H60"/>
    </sheetView>
  </sheetViews>
  <sheetFormatPr defaultColWidth="8.54296875" defaultRowHeight="15" customHeight="1"/>
  <cols>
    <col customWidth="1" min="2" max="2" style="1" width="11.21000000000000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5">
      <c r="A2" s="1" t="s">
        <v>6</v>
      </c>
      <c r="B2" s="1" t="s">
        <v>7</v>
      </c>
      <c r="C2" s="4" t="s">
        <v>8</v>
      </c>
      <c r="D2" s="1" t="s">
        <v>9</v>
      </c>
      <c r="E2" s="1" t="s">
        <v>10</v>
      </c>
      <c r="F2" t="str">
        <f t="shared" ref="F2:F9" si="0">_xlfn.CONCAT("E56_",E2)</f>
        <v>E56_ara</v>
      </c>
    </row>
    <row r="3" ht="15">
      <c r="A3" s="1" t="s">
        <v>11</v>
      </c>
      <c r="B3" s="1" t="s">
        <v>12</v>
      </c>
      <c r="C3" s="4" t="s">
        <v>13</v>
      </c>
      <c r="D3" s="1" t="s">
        <v>14</v>
      </c>
      <c r="E3" s="1" t="s">
        <v>15</v>
      </c>
      <c r="F3" t="str">
        <f t="shared" si="0"/>
        <v>E56_aze</v>
      </c>
    </row>
    <row r="4" ht="15">
      <c r="A4" s="1" t="s">
        <v>16</v>
      </c>
      <c r="B4" s="1" t="s">
        <v>17</v>
      </c>
      <c r="C4" s="4" t="s">
        <v>18</v>
      </c>
      <c r="D4" s="1" t="s">
        <v>19</v>
      </c>
      <c r="E4" s="1" t="s">
        <v>20</v>
      </c>
      <c r="F4" t="str">
        <f t="shared" si="0"/>
        <v>E56_bak</v>
      </c>
    </row>
    <row r="5" ht="15">
      <c r="A5" s="1" t="s">
        <v>21</v>
      </c>
      <c r="B5" s="1" t="s">
        <v>22</v>
      </c>
      <c r="C5" s="4" t="s">
        <v>23</v>
      </c>
      <c r="D5" s="1" t="s">
        <v>24</v>
      </c>
      <c r="E5" s="1" t="s">
        <v>25</v>
      </c>
      <c r="F5" t="str">
        <f t="shared" si="0"/>
        <v>E56_bel</v>
      </c>
    </row>
    <row r="6" ht="15">
      <c r="A6" s="1" t="s">
        <v>26</v>
      </c>
      <c r="B6" s="1" t="s">
        <v>27</v>
      </c>
      <c r="C6" s="4" t="s">
        <v>28</v>
      </c>
      <c r="D6" s="1" t="s">
        <v>29</v>
      </c>
      <c r="E6" s="1" t="s">
        <v>30</v>
      </c>
      <c r="F6" t="str">
        <f t="shared" si="0"/>
        <v>E56_bul</v>
      </c>
    </row>
    <row r="7" ht="15">
      <c r="A7" s="1" t="s">
        <v>31</v>
      </c>
      <c r="B7" s="1" t="s">
        <v>32</v>
      </c>
      <c r="C7" s="4" t="s">
        <v>33</v>
      </c>
      <c r="D7" s="1" t="s">
        <v>34</v>
      </c>
      <c r="E7" s="1" t="s">
        <v>35</v>
      </c>
      <c r="F7" t="str">
        <f t="shared" si="0"/>
        <v>E56_ben</v>
      </c>
    </row>
    <row r="8" ht="15">
      <c r="A8" s="1" t="s">
        <v>36</v>
      </c>
      <c r="B8" s="1" t="s">
        <v>37</v>
      </c>
      <c r="C8" s="4" t="s">
        <v>38</v>
      </c>
      <c r="D8" s="1" t="s">
        <v>39</v>
      </c>
      <c r="E8" s="1" t="s">
        <v>40</v>
      </c>
      <c r="F8" t="str">
        <f t="shared" si="0"/>
        <v>E56_bre</v>
      </c>
    </row>
    <row r="9" ht="15">
      <c r="A9" s="1" t="s">
        <v>41</v>
      </c>
      <c r="B9" s="1" t="s">
        <v>42</v>
      </c>
      <c r="C9" s="4" t="s">
        <v>43</v>
      </c>
      <c r="D9" s="1" t="s">
        <v>44</v>
      </c>
      <c r="E9" s="1" t="s">
        <v>45</v>
      </c>
      <c r="F9" t="str">
        <f t="shared" si="0"/>
        <v>E56_cat</v>
      </c>
    </row>
    <row r="10" ht="15">
      <c r="A10" s="1" t="s">
        <v>46</v>
      </c>
      <c r="B10" s="1" t="s">
        <v>47</v>
      </c>
      <c r="C10" s="4" t="s">
        <v>48</v>
      </c>
      <c r="D10" s="1" t="s">
        <v>49</v>
      </c>
      <c r="E10" s="1" t="s">
        <v>50</v>
      </c>
      <c r="F10" t="str">
        <f t="shared" ref="F10:F58" si="1">_xlfn.CONCAT("E56_",E10)</f>
        <v>E56_ces</v>
      </c>
    </row>
    <row r="11" ht="15">
      <c r="A11" s="1" t="s">
        <v>51</v>
      </c>
      <c r="B11" s="1" t="s">
        <v>52</v>
      </c>
      <c r="C11" s="4" t="s">
        <v>53</v>
      </c>
      <c r="D11" s="1" t="s">
        <v>54</v>
      </c>
      <c r="E11" s="1" t="s">
        <v>55</v>
      </c>
      <c r="F11" t="str">
        <f t="shared" si="1"/>
        <v>E56_dan</v>
      </c>
    </row>
    <row r="12" ht="15">
      <c r="A12" s="1" t="s">
        <v>56</v>
      </c>
      <c r="B12" s="1" t="s">
        <v>57</v>
      </c>
      <c r="C12" s="4" t="s">
        <v>58</v>
      </c>
      <c r="D12" s="1" t="s">
        <v>59</v>
      </c>
      <c r="E12" s="1" t="s">
        <v>60</v>
      </c>
      <c r="F12" t="str">
        <f t="shared" si="1"/>
        <v>E56_deu</v>
      </c>
    </row>
    <row r="13" ht="15">
      <c r="A13" s="1" t="s">
        <v>61</v>
      </c>
      <c r="B13" s="1" t="s">
        <v>62</v>
      </c>
      <c r="C13" s="4" t="s">
        <v>63</v>
      </c>
      <c r="D13" s="1" t="s">
        <v>64</v>
      </c>
      <c r="E13" s="1" t="s">
        <v>65</v>
      </c>
      <c r="F13" t="str">
        <f t="shared" si="1"/>
        <v>E56_ell</v>
      </c>
    </row>
    <row r="14" ht="15">
      <c r="A14" s="1" t="s">
        <v>66</v>
      </c>
      <c r="B14" s="1" t="s">
        <v>67</v>
      </c>
      <c r="C14" s="4" t="s">
        <v>68</v>
      </c>
      <c r="D14" s="1" t="s">
        <v>69</v>
      </c>
      <c r="E14" s="1" t="s">
        <v>70</v>
      </c>
      <c r="F14" t="str">
        <f t="shared" si="1"/>
        <v>E56_eng</v>
      </c>
    </row>
    <row r="15" ht="15">
      <c r="A15" s="1" t="s">
        <v>71</v>
      </c>
      <c r="B15" s="1" t="s">
        <v>72</v>
      </c>
      <c r="C15" s="4" t="s">
        <v>73</v>
      </c>
      <c r="D15" s="1" t="s">
        <v>74</v>
      </c>
      <c r="E15" s="1" t="s">
        <v>75</v>
      </c>
      <c r="F15" t="str">
        <f t="shared" si="1"/>
        <v>E56_epo</v>
      </c>
    </row>
    <row r="16" ht="15" customHeight="1">
      <c r="A16" s="1" t="s">
        <v>76</v>
      </c>
      <c r="B16" s="1" t="s">
        <v>77</v>
      </c>
      <c r="C16" s="4" t="s">
        <v>78</v>
      </c>
      <c r="D16" s="1" t="s">
        <v>79</v>
      </c>
      <c r="E16" s="1" t="s">
        <v>80</v>
      </c>
      <c r="F16" t="str">
        <f t="shared" si="1"/>
        <v>E56_spa</v>
      </c>
    </row>
    <row r="17" ht="15" customHeight="1">
      <c r="A17" s="5" t="s">
        <v>81</v>
      </c>
      <c r="B17" s="1" t="s">
        <v>82</v>
      </c>
      <c r="C17" s="4" t="s">
        <v>83</v>
      </c>
      <c r="D17" s="1" t="s">
        <v>84</v>
      </c>
      <c r="E17" s="1" t="s">
        <v>85</v>
      </c>
      <c r="F17" t="str">
        <f t="shared" si="1"/>
        <v>E56_est</v>
      </c>
    </row>
    <row r="18" ht="15" customHeight="1">
      <c r="A18" s="1" t="s">
        <v>86</v>
      </c>
      <c r="B18" s="1" t="s">
        <v>87</v>
      </c>
      <c r="C18" s="4" t="s">
        <v>88</v>
      </c>
      <c r="D18" s="1" t="s">
        <v>89</v>
      </c>
      <c r="E18" s="1" t="s">
        <v>90</v>
      </c>
      <c r="F18" t="str">
        <f t="shared" si="1"/>
        <v>E56_eus</v>
      </c>
    </row>
    <row r="19" ht="15" customHeight="1">
      <c r="A19" s="1" t="s">
        <v>91</v>
      </c>
      <c r="B19" s="1" t="s">
        <v>92</v>
      </c>
      <c r="C19" s="4" t="s">
        <v>93</v>
      </c>
      <c r="D19" s="1" t="s">
        <v>94</v>
      </c>
      <c r="E19" s="1" t="s">
        <v>95</v>
      </c>
      <c r="F19" t="str">
        <f t="shared" si="1"/>
        <v>E56_fas</v>
      </c>
    </row>
    <row r="20" ht="15" customHeight="1">
      <c r="A20" s="1" t="s">
        <v>96</v>
      </c>
      <c r="B20" s="1" t="s">
        <v>97</v>
      </c>
      <c r="C20" s="4" t="s">
        <v>98</v>
      </c>
      <c r="D20" s="1" t="s">
        <v>99</v>
      </c>
      <c r="E20" s="1" t="s">
        <v>100</v>
      </c>
      <c r="F20" t="str">
        <f t="shared" si="1"/>
        <v>E56_fin</v>
      </c>
    </row>
    <row r="21" ht="15" customHeight="1">
      <c r="A21" s="1" t="s">
        <v>101</v>
      </c>
      <c r="B21" s="1" t="s">
        <v>102</v>
      </c>
      <c r="C21" s="4" t="s">
        <v>103</v>
      </c>
      <c r="D21" s="1" t="s">
        <v>104</v>
      </c>
      <c r="E21" s="1" t="s">
        <v>105</v>
      </c>
      <c r="F21" t="str">
        <f t="shared" si="1"/>
        <v>E56_fra</v>
      </c>
    </row>
    <row r="22" ht="15" customHeight="1">
      <c r="A22" s="1" t="s">
        <v>106</v>
      </c>
      <c r="B22" s="1" t="s">
        <v>107</v>
      </c>
      <c r="C22" s="4" t="s">
        <v>108</v>
      </c>
      <c r="D22" s="1" t="s">
        <v>109</v>
      </c>
      <c r="E22" s="1" t="s">
        <v>110</v>
      </c>
      <c r="F22" t="str">
        <f t="shared" si="1"/>
        <v>E56_glg</v>
      </c>
    </row>
    <row r="23" ht="15" customHeight="1">
      <c r="A23" s="1" t="s">
        <v>111</v>
      </c>
      <c r="B23" s="1" t="s">
        <v>112</v>
      </c>
      <c r="C23" s="4" t="s">
        <v>113</v>
      </c>
      <c r="D23" s="1" t="s">
        <v>114</v>
      </c>
      <c r="E23" s="1" t="s">
        <v>115</v>
      </c>
      <c r="F23" t="str">
        <f t="shared" si="1"/>
        <v>E56_heb</v>
      </c>
    </row>
    <row r="24" ht="15" customHeight="1">
      <c r="A24" s="1" t="s">
        <v>116</v>
      </c>
      <c r="B24" s="1" t="s">
        <v>117</v>
      </c>
      <c r="C24" s="4" t="s">
        <v>118</v>
      </c>
      <c r="D24" s="1" t="s">
        <v>119</v>
      </c>
      <c r="E24" s="1" t="s">
        <v>120</v>
      </c>
      <c r="F24" t="str">
        <f t="shared" si="1"/>
        <v>E56_hin</v>
      </c>
    </row>
    <row r="25" ht="15" customHeight="1">
      <c r="A25" s="1" t="s">
        <v>121</v>
      </c>
      <c r="B25" s="1" t="s">
        <v>122</v>
      </c>
      <c r="C25" s="4" t="s">
        <v>123</v>
      </c>
      <c r="D25" s="1" t="s">
        <v>124</v>
      </c>
      <c r="E25" s="1" t="s">
        <v>125</v>
      </c>
      <c r="F25" t="str">
        <f t="shared" si="1"/>
        <v>E56_hrv</v>
      </c>
    </row>
    <row r="26" ht="15" customHeight="1">
      <c r="A26" s="1" t="s">
        <v>126</v>
      </c>
      <c r="B26" s="1" t="s">
        <v>127</v>
      </c>
      <c r="C26" s="4" t="s">
        <v>128</v>
      </c>
      <c r="D26" s="1" t="s">
        <v>129</v>
      </c>
      <c r="E26" s="1" t="s">
        <v>130</v>
      </c>
      <c r="F26" t="str">
        <f t="shared" si="1"/>
        <v>E56_hun</v>
      </c>
    </row>
    <row r="27" ht="15" customHeight="1">
      <c r="A27" s="1" t="s">
        <v>131</v>
      </c>
      <c r="B27" s="1" t="s">
        <v>132</v>
      </c>
      <c r="C27" s="4" t="s">
        <v>133</v>
      </c>
      <c r="D27" s="1" t="s">
        <v>134</v>
      </c>
      <c r="E27" s="1" t="s">
        <v>135</v>
      </c>
      <c r="F27" t="str">
        <f t="shared" si="1"/>
        <v>E56_hye</v>
      </c>
    </row>
    <row r="28" ht="15" customHeight="1">
      <c r="A28" s="1" t="s">
        <v>136</v>
      </c>
      <c r="B28" s="1" t="s">
        <v>137</v>
      </c>
      <c r="C28" s="4" t="s">
        <v>138</v>
      </c>
      <c r="D28" s="1" t="s">
        <v>139</v>
      </c>
      <c r="E28" s="1" t="s">
        <v>140</v>
      </c>
      <c r="F28" t="str">
        <f t="shared" si="1"/>
        <v>E56_ita</v>
      </c>
    </row>
    <row r="29" ht="15" customHeight="1">
      <c r="A29" s="1" t="s">
        <v>141</v>
      </c>
      <c r="B29" s="1" t="s">
        <v>142</v>
      </c>
      <c r="C29" s="4" t="s">
        <v>143</v>
      </c>
      <c r="D29" s="1" t="s">
        <v>144</v>
      </c>
      <c r="E29" s="1" t="s">
        <v>145</v>
      </c>
      <c r="F29" t="str">
        <f t="shared" si="1"/>
        <v>E56_jpn</v>
      </c>
    </row>
    <row r="30" ht="15" customHeight="1">
      <c r="A30" s="1" t="s">
        <v>146</v>
      </c>
      <c r="B30" s="1" t="s">
        <v>147</v>
      </c>
      <c r="C30" s="4" t="s">
        <v>148</v>
      </c>
      <c r="D30" s="1" t="s">
        <v>149</v>
      </c>
      <c r="E30" s="1" t="s">
        <v>150</v>
      </c>
      <c r="F30" t="str">
        <f t="shared" si="1"/>
        <v>E56_kat</v>
      </c>
    </row>
    <row r="31" ht="15" customHeight="1">
      <c r="A31" s="1" t="s">
        <v>151</v>
      </c>
      <c r="B31" s="1" t="s">
        <v>152</v>
      </c>
      <c r="C31" s="4" t="s">
        <v>153</v>
      </c>
      <c r="D31" s="1" t="s">
        <v>154</v>
      </c>
      <c r="E31" s="1" t="s">
        <v>155</v>
      </c>
      <c r="F31" t="str">
        <f t="shared" si="1"/>
        <v>E56_kaz</v>
      </c>
    </row>
    <row r="32" ht="15" customHeight="1">
      <c r="A32" s="1" t="s">
        <v>156</v>
      </c>
      <c r="B32" s="1" t="s">
        <v>157</v>
      </c>
      <c r="C32" s="4" t="s">
        <v>158</v>
      </c>
      <c r="D32" s="1" t="s">
        <v>159</v>
      </c>
      <c r="E32" s="1" t="s">
        <v>160</v>
      </c>
      <c r="F32" t="str">
        <f t="shared" si="1"/>
        <v>E56_kor</v>
      </c>
    </row>
    <row r="33" ht="15" customHeight="1">
      <c r="A33" s="1" t="s">
        <v>161</v>
      </c>
      <c r="B33" s="1" t="s">
        <v>162</v>
      </c>
      <c r="C33" s="4" t="s">
        <v>163</v>
      </c>
      <c r="D33" s="1" t="s">
        <v>164</v>
      </c>
      <c r="E33" s="1" t="s">
        <v>165</v>
      </c>
      <c r="F33" t="str">
        <f t="shared" si="1"/>
        <v>E56_lit</v>
      </c>
    </row>
    <row r="34" ht="15" customHeight="1">
      <c r="A34" s="5" t="s">
        <v>166</v>
      </c>
      <c r="B34" s="1" t="s">
        <v>167</v>
      </c>
      <c r="C34" s="4" t="s">
        <v>168</v>
      </c>
      <c r="D34" s="1" t="s">
        <v>169</v>
      </c>
      <c r="E34" s="1" t="s">
        <v>170</v>
      </c>
      <c r="F34" t="str">
        <f t="shared" si="1"/>
        <v>E56_lav</v>
      </c>
    </row>
    <row r="35" ht="15" customHeight="1">
      <c r="A35" s="1" t="s">
        <v>171</v>
      </c>
      <c r="B35" s="1" t="s">
        <v>172</v>
      </c>
      <c r="C35" s="4" t="s">
        <v>173</v>
      </c>
      <c r="D35" s="1" t="s">
        <v>174</v>
      </c>
      <c r="E35" s="1" t="s">
        <v>175</v>
      </c>
      <c r="F35" t="str">
        <f t="shared" si="1"/>
        <v>E56_mkd</v>
      </c>
    </row>
    <row r="36" ht="15" customHeight="1">
      <c r="A36" s="1" t="s">
        <v>176</v>
      </c>
      <c r="B36" s="1" t="s">
        <v>177</v>
      </c>
      <c r="C36" s="4" t="s">
        <v>178</v>
      </c>
      <c r="D36" s="1" t="s">
        <v>179</v>
      </c>
      <c r="E36" s="1" t="s">
        <v>180</v>
      </c>
      <c r="F36" t="str">
        <f t="shared" si="1"/>
        <v>E56_mon</v>
      </c>
    </row>
    <row r="37" ht="15" customHeight="1">
      <c r="A37" s="1" t="s">
        <v>181</v>
      </c>
      <c r="B37" s="1" t="s">
        <v>182</v>
      </c>
      <c r="C37" s="4" t="s">
        <v>183</v>
      </c>
      <c r="D37" s="1" t="s">
        <v>184</v>
      </c>
      <c r="E37" s="1" t="s">
        <v>185</v>
      </c>
      <c r="F37" t="str">
        <f t="shared" si="1"/>
        <v>E56_nld</v>
      </c>
    </row>
    <row r="38" ht="15" customHeight="1">
      <c r="A38" s="1" t="s">
        <v>186</v>
      </c>
      <c r="B38" s="1" t="s">
        <v>187</v>
      </c>
      <c r="C38" s="4" t="s">
        <v>188</v>
      </c>
      <c r="D38" s="1" t="s">
        <v>189</v>
      </c>
      <c r="E38" s="1" t="s">
        <v>190</v>
      </c>
      <c r="F38" t="str">
        <f t="shared" si="1"/>
        <v>E56_nor</v>
      </c>
    </row>
    <row r="39" ht="15" customHeight="1">
      <c r="A39" s="1" t="s">
        <v>191</v>
      </c>
      <c r="B39" s="1" t="s">
        <v>192</v>
      </c>
      <c r="C39" s="4" t="s">
        <v>193</v>
      </c>
      <c r="D39" s="1" t="s">
        <v>194</v>
      </c>
      <c r="E39" s="1" t="s">
        <v>195</v>
      </c>
      <c r="F39" t="str">
        <f t="shared" si="1"/>
        <v>E56_pol</v>
      </c>
    </row>
    <row r="40" ht="15" customHeight="1">
      <c r="A40" s="1" t="s">
        <v>196</v>
      </c>
      <c r="B40" s="1" t="s">
        <v>197</v>
      </c>
      <c r="C40" s="4" t="s">
        <v>198</v>
      </c>
      <c r="D40" s="1" t="s">
        <v>199</v>
      </c>
      <c r="E40" s="1" t="s">
        <v>200</v>
      </c>
      <c r="F40" t="str">
        <f t="shared" si="1"/>
        <v>E56_por</v>
      </c>
    </row>
    <row r="41" ht="15" customHeight="1">
      <c r="A41" s="1" t="s">
        <v>201</v>
      </c>
      <c r="B41" s="1" t="s">
        <v>202</v>
      </c>
      <c r="C41" s="4" t="s">
        <v>203</v>
      </c>
      <c r="D41" s="1" t="s">
        <v>204</v>
      </c>
      <c r="E41" s="1" t="s">
        <v>205</v>
      </c>
      <c r="F41" t="str">
        <f t="shared" si="1"/>
        <v>E56_ron</v>
      </c>
    </row>
    <row r="42" ht="15" customHeight="1">
      <c r="A42" s="1" t="s">
        <v>206</v>
      </c>
      <c r="B42" s="1" t="s">
        <v>207</v>
      </c>
      <c r="C42" s="4" t="s">
        <v>208</v>
      </c>
      <c r="D42" s="1" t="s">
        <v>209</v>
      </c>
      <c r="E42" s="1" t="s">
        <v>210</v>
      </c>
      <c r="F42" t="str">
        <f t="shared" si="1"/>
        <v>E56_rus</v>
      </c>
    </row>
    <row r="43" ht="15" customHeight="1">
      <c r="A43" s="1" t="s">
        <v>211</v>
      </c>
      <c r="B43" s="1" t="s">
        <v>212</v>
      </c>
      <c r="C43" s="4" t="s">
        <v>213</v>
      </c>
      <c r="D43" s="1" t="s">
        <v>214</v>
      </c>
      <c r="E43" s="1" t="s">
        <v>215</v>
      </c>
      <c r="F43" t="str">
        <f t="shared" si="1"/>
        <v>E56_slk</v>
      </c>
    </row>
    <row r="44" ht="15" customHeight="1">
      <c r="A44" s="1" t="s">
        <v>216</v>
      </c>
      <c r="B44" s="1" t="s">
        <v>217</v>
      </c>
      <c r="C44" s="4" t="s">
        <v>218</v>
      </c>
      <c r="D44" s="1" t="s">
        <v>219</v>
      </c>
      <c r="E44" s="1" t="s">
        <v>220</v>
      </c>
      <c r="F44" t="str">
        <f t="shared" si="1"/>
        <v>E56_slv</v>
      </c>
    </row>
    <row r="45" ht="15" customHeight="1">
      <c r="A45" s="1" t="s">
        <v>221</v>
      </c>
      <c r="B45" s="1" t="s">
        <v>222</v>
      </c>
      <c r="C45" s="4" t="s">
        <v>223</v>
      </c>
      <c r="D45" s="1" t="s">
        <v>224</v>
      </c>
      <c r="E45" s="1" t="s">
        <v>225</v>
      </c>
      <c r="F45" t="str">
        <f t="shared" si="1"/>
        <v>E56_sqi</v>
      </c>
    </row>
    <row r="46" ht="15" customHeight="1">
      <c r="A46" s="1" t="s">
        <v>226</v>
      </c>
      <c r="B46" s="1" t="s">
        <v>227</v>
      </c>
      <c r="C46" s="4" t="s">
        <v>228</v>
      </c>
      <c r="D46" s="1" t="s">
        <v>229</v>
      </c>
      <c r="E46" s="1" t="s">
        <v>230</v>
      </c>
      <c r="F46" t="str">
        <f t="shared" si="1"/>
        <v>E56_srp</v>
      </c>
    </row>
    <row r="47" ht="15" customHeight="1">
      <c r="A47" s="1" t="s">
        <v>231</v>
      </c>
      <c r="B47" s="1" t="s">
        <v>232</v>
      </c>
      <c r="C47" s="4" t="s">
        <v>233</v>
      </c>
      <c r="D47" s="1" t="s">
        <v>234</v>
      </c>
      <c r="E47" s="1" t="s">
        <v>235</v>
      </c>
      <c r="F47" t="str">
        <f t="shared" si="1"/>
        <v>E56_swe</v>
      </c>
    </row>
    <row r="48" ht="15" customHeight="1">
      <c r="A48" s="1" t="s">
        <v>236</v>
      </c>
      <c r="B48" s="1" t="s">
        <v>237</v>
      </c>
      <c r="C48" s="4" t="s">
        <v>238</v>
      </c>
      <c r="D48" s="1" t="s">
        <v>239</v>
      </c>
      <c r="E48" s="1" t="s">
        <v>240</v>
      </c>
      <c r="F48" t="str">
        <f t="shared" si="1"/>
        <v>E56_tur</v>
      </c>
    </row>
    <row r="49" ht="15" customHeight="1">
      <c r="A49" s="1" t="s">
        <v>241</v>
      </c>
      <c r="B49" s="1" t="s">
        <v>242</v>
      </c>
      <c r="C49" s="4" t="s">
        <v>243</v>
      </c>
      <c r="D49" s="1" t="s">
        <v>244</v>
      </c>
      <c r="E49" s="1" t="s">
        <v>245</v>
      </c>
      <c r="F49" t="str">
        <f t="shared" si="1"/>
        <v>E56_ukr</v>
      </c>
    </row>
    <row r="50" ht="15" customHeight="1">
      <c r="A50" s="1" t="s">
        <v>246</v>
      </c>
      <c r="B50" s="1" t="s">
        <v>247</v>
      </c>
      <c r="C50" s="4" t="s">
        <v>248</v>
      </c>
      <c r="D50" s="1" t="s">
        <v>249</v>
      </c>
      <c r="E50" s="1" t="s">
        <v>250</v>
      </c>
      <c r="F50" t="str">
        <f t="shared" si="1"/>
        <v>E56_uzb</v>
      </c>
    </row>
    <row r="51" ht="15" customHeight="1">
      <c r="A51" s="1" t="s">
        <v>251</v>
      </c>
      <c r="B51" s="1" t="s">
        <v>252</v>
      </c>
      <c r="C51" s="4" t="s">
        <v>253</v>
      </c>
      <c r="D51" s="1" t="s">
        <v>254</v>
      </c>
      <c r="E51" s="1" t="s">
        <v>255</v>
      </c>
      <c r="F51" t="str">
        <f t="shared" si="1"/>
        <v>E56_vie</v>
      </c>
    </row>
    <row r="52" ht="15" customHeight="1">
      <c r="A52" s="1" t="s">
        <v>256</v>
      </c>
      <c r="B52" s="1" t="s">
        <v>257</v>
      </c>
      <c r="C52" s="4" t="s">
        <v>258</v>
      </c>
      <c r="D52" s="1" t="s">
        <v>259</v>
      </c>
      <c r="E52" s="1" t="s">
        <v>260</v>
      </c>
      <c r="F52" t="str">
        <f t="shared" si="1"/>
        <v>E56_zho</v>
      </c>
    </row>
    <row r="53" ht="15" customHeight="1">
      <c r="A53" s="1" t="s">
        <v>261</v>
      </c>
      <c r="B53" s="1" t="s">
        <v>262</v>
      </c>
      <c r="C53" s="4" t="s">
        <v>263</v>
      </c>
      <c r="D53" s="1" t="s">
        <v>264</v>
      </c>
      <c r="E53" s="1" t="s">
        <v>265</v>
      </c>
      <c r="F53" t="str">
        <f t="shared" si="1"/>
        <v>E56_kir</v>
      </c>
    </row>
    <row r="54" ht="15" customHeight="1">
      <c r="A54" s="1" t="s">
        <v>266</v>
      </c>
      <c r="B54" s="1" t="s">
        <v>267</v>
      </c>
      <c r="C54" s="1" t="s">
        <v>268</v>
      </c>
      <c r="D54" s="1" t="s">
        <v>269</v>
      </c>
      <c r="E54" s="1" t="s">
        <v>270</v>
      </c>
      <c r="F54" t="str">
        <f t="shared" si="1"/>
        <v>E56_hbs</v>
      </c>
    </row>
    <row r="55" ht="15" customHeight="1">
      <c r="B55" s="1" t="s">
        <v>271</v>
      </c>
      <c r="C55" s="1" t="s">
        <v>272</v>
      </c>
      <c r="D55" s="1" t="s">
        <v>273</v>
      </c>
      <c r="E55" s="1" t="s">
        <v>274</v>
      </c>
      <c r="F55" t="str">
        <f t="shared" si="1"/>
        <v>E56_fil</v>
      </c>
    </row>
    <row r="56" ht="15" customHeight="1">
      <c r="A56" s="1" t="s">
        <v>275</v>
      </c>
      <c r="B56" s="1" t="s">
        <v>276</v>
      </c>
      <c r="C56" s="1" t="s">
        <v>277</v>
      </c>
      <c r="D56" s="1" t="s">
        <v>278</v>
      </c>
      <c r="E56" s="1" t="s">
        <v>279</v>
      </c>
      <c r="F56" t="str">
        <f t="shared" si="1"/>
        <v>E56_mol</v>
      </c>
    </row>
    <row r="57" ht="15" customHeight="1">
      <c r="A57" t="s">
        <v>280</v>
      </c>
      <c r="B57" s="1" t="s">
        <v>281</v>
      </c>
      <c r="C57" t="s">
        <v>282</v>
      </c>
      <c r="D57" t="s">
        <v>283</v>
      </c>
      <c r="E57" t="s">
        <v>284</v>
      </c>
      <c r="F57" t="str">
        <f t="shared" si="1"/>
        <v>E56_sin</v>
      </c>
    </row>
    <row r="58" ht="15" customHeight="1">
      <c r="A58" t="s">
        <v>285</v>
      </c>
      <c r="B58" s="1" t="s">
        <v>286</v>
      </c>
      <c r="C58" t="s">
        <v>287</v>
      </c>
      <c r="D58" t="s">
        <v>288</v>
      </c>
      <c r="E58" t="s">
        <v>289</v>
      </c>
      <c r="F58" t="str">
        <f t="shared" si="1"/>
        <v>E56_tat</v>
      </c>
    </row>
  </sheetData>
  <autoFilter ref="A1:F58"/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</hyperlinks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2" activeCellId="0" sqref="A2"/>
    </sheetView>
  </sheetViews>
  <sheetFormatPr defaultColWidth="11.53515625" defaultRowHeight="12.800000000000001" customHeight="1"/>
  <sheetData>
    <row r="1" ht="14.25">
      <c r="A1" s="2" t="s">
        <v>290</v>
      </c>
      <c r="B1" s="2" t="s">
        <v>291</v>
      </c>
      <c r="C1" s="3" t="s">
        <v>5</v>
      </c>
    </row>
    <row r="2" ht="14.25">
      <c r="A2" s="5" t="s">
        <v>292</v>
      </c>
      <c r="B2" s="1" t="s">
        <v>171</v>
      </c>
      <c r="C2" t="str">
        <f>VLOOKUP(B2,langs!A:F,6,FALSE())</f>
        <v>E56_mkd</v>
      </c>
    </row>
  </sheetData>
  <autoFilter ref="A1:C2"/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Roman,Normalny"&amp;12&amp;Kffffff&amp;A</oddHeader>
    <oddFooter>&amp;C&amp;"Times New Roman,Normalny"&amp;12&amp;KffffffPage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10" workbookViewId="0">
      <selection activeCell="B2" activeCellId="0" sqref="B2"/>
    </sheetView>
  </sheetViews>
  <sheetFormatPr defaultColWidth="11.53515625" defaultRowHeight="12.800000000000001" customHeight="1"/>
  <sheetData>
    <row r="1" ht="14.25">
      <c r="A1" s="2" t="s">
        <v>293</v>
      </c>
      <c r="B1" s="2" t="s">
        <v>3</v>
      </c>
      <c r="C1" s="3" t="s">
        <v>5</v>
      </c>
    </row>
    <row r="2" ht="14.25">
      <c r="A2" s="1" t="s">
        <v>294</v>
      </c>
      <c r="B2" s="1" t="str">
        <f>VLOOKUP(PROPER(A2),langs!B:D,3,FALSE())</f>
        <v>Q8748</v>
      </c>
      <c r="C2" t="str">
        <f>VLOOKUP(PROPER(A2),langs!B:F,5,FALSE())</f>
        <v>E56_sqi</v>
      </c>
    </row>
    <row r="3" ht="14.25">
      <c r="A3" s="1" t="s">
        <v>295</v>
      </c>
      <c r="B3" s="1" t="str">
        <f>VLOOKUP(PROPER(A3),langs!B:D,3,FALSE())</f>
        <v>Q13955</v>
      </c>
      <c r="C3" t="str">
        <f>VLOOKUP(PROPER(A3),langs!B:F,5,FALSE())</f>
        <v>E56_ara</v>
      </c>
    </row>
    <row r="4" ht="14.25">
      <c r="A4" s="1" t="s">
        <v>296</v>
      </c>
      <c r="B4" s="1" t="str">
        <f>VLOOKUP(PROPER(A4),langs!B:D,3,FALSE())</f>
        <v>Q8785</v>
      </c>
      <c r="C4" t="str">
        <f>VLOOKUP(PROPER(A4),langs!B:F,5,FALSE())</f>
        <v>E56_hye</v>
      </c>
    </row>
    <row r="5" ht="14.25">
      <c r="A5" s="1" t="s">
        <v>297</v>
      </c>
      <c r="B5" s="1" t="str">
        <f>VLOOKUP(PROPER(A5),langs!B:D,3,FALSE())</f>
        <v>Q9292</v>
      </c>
      <c r="C5" t="str">
        <f>VLOOKUP(PROPER(A5),langs!B:F,5,FALSE())</f>
        <v>E56_aze</v>
      </c>
    </row>
    <row r="6" ht="14.25">
      <c r="A6" s="1" t="s">
        <v>298</v>
      </c>
      <c r="B6" s="1" t="str">
        <f>VLOOKUP(PROPER(A6),langs!B:D,3,FALSE())</f>
        <v>Q9091</v>
      </c>
      <c r="C6" t="str">
        <f>VLOOKUP(PROPER(A6),langs!B:F,5,FALSE())</f>
        <v>E56_bel</v>
      </c>
    </row>
    <row r="7" ht="14.25">
      <c r="A7" s="1" t="s">
        <v>299</v>
      </c>
      <c r="B7" s="1" t="str">
        <f>VLOOKUP(PROPER(A7),langs!B:D,3,FALSE())</f>
        <v>Q7918</v>
      </c>
      <c r="C7" t="str">
        <f>VLOOKUP(PROPER(A7),langs!B:F,5,FALSE())</f>
        <v>E56_bul</v>
      </c>
    </row>
    <row r="8" ht="14.25">
      <c r="A8" s="1" t="s">
        <v>300</v>
      </c>
      <c r="B8" s="1" t="str">
        <f>VLOOKUP(PROPER(A8),langs!B:D,3,FALSE())</f>
        <v>Q7026</v>
      </c>
      <c r="C8" t="str">
        <f>VLOOKUP(PROPER(A8),langs!B:F,5,FALSE())</f>
        <v>E56_cat</v>
      </c>
    </row>
    <row r="9" ht="14.25">
      <c r="A9" s="1" t="s">
        <v>301</v>
      </c>
      <c r="B9" s="1" t="str">
        <f>VLOOKUP(PROPER(A9),langs!B:D,3,FALSE())</f>
        <v>Q7850</v>
      </c>
      <c r="C9" t="str">
        <f>VLOOKUP(PROPER(A9),langs!B:F,5,FALSE())</f>
        <v>E56_zho</v>
      </c>
    </row>
    <row r="10" ht="14.25">
      <c r="A10" s="1" t="s">
        <v>302</v>
      </c>
      <c r="B10" s="1" t="str">
        <f>VLOOKUP(PROPER(A10),langs!B:D,3,FALSE())</f>
        <v>Q6654</v>
      </c>
      <c r="C10" t="str">
        <f>VLOOKUP(PROPER(A10),langs!B:F,5,FALSE())</f>
        <v>E56_hrv</v>
      </c>
    </row>
    <row r="11" ht="14.25">
      <c r="A11" s="1" t="s">
        <v>303</v>
      </c>
      <c r="B11" s="1" t="str">
        <f>VLOOKUP(PROPER(A11),langs!B:D,3,FALSE())</f>
        <v>Q9056</v>
      </c>
      <c r="C11" t="str">
        <f>VLOOKUP(PROPER(A11),langs!B:F,5,FALSE())</f>
        <v>E56_ces</v>
      </c>
    </row>
    <row r="12" ht="14.25">
      <c r="A12" s="1" t="s">
        <v>304</v>
      </c>
      <c r="B12" s="1" t="str">
        <f>VLOOKUP(PROPER(A12),langs!B:D,3,FALSE())</f>
        <v>Q9035</v>
      </c>
      <c r="C12" t="str">
        <f>VLOOKUP(PROPER(A12),langs!B:F,5,FALSE())</f>
        <v>E56_dan</v>
      </c>
    </row>
    <row r="13" ht="14.25">
      <c r="A13" s="1" t="s">
        <v>305</v>
      </c>
      <c r="B13" s="1" t="str">
        <f>VLOOKUP(PROPER(A13),langs!B:D,3,FALSE())</f>
        <v>Q7411</v>
      </c>
      <c r="C13" t="str">
        <f>VLOOKUP(PROPER(A13),langs!B:F,5,FALSE())</f>
        <v>E56_nld</v>
      </c>
    </row>
    <row r="14" ht="14.25">
      <c r="A14" s="1" t="s">
        <v>306</v>
      </c>
      <c r="B14" s="1" t="str">
        <f>VLOOKUP(PROPER(A14),langs!B:D,3,FALSE())</f>
        <v>Q1860</v>
      </c>
      <c r="C14" t="str">
        <f>VLOOKUP(PROPER(A14),langs!B:F,5,FALSE())</f>
        <v>E56_eng</v>
      </c>
    </row>
    <row r="15" ht="14.25">
      <c r="A15" s="1" t="s">
        <v>307</v>
      </c>
      <c r="B15" s="1" t="str">
        <f>VLOOKUP(PROPER(A15),langs!B:D,3,FALSE())</f>
        <v>Q143</v>
      </c>
      <c r="C15" t="str">
        <f>VLOOKUP(PROPER(A15),langs!B:F,5,FALSE())</f>
        <v>E56_epo</v>
      </c>
    </row>
    <row r="16" ht="14.25">
      <c r="A16" s="1" t="s">
        <v>308</v>
      </c>
      <c r="B16" s="1" t="str">
        <f>VLOOKUP(PROPER(A16),langs!B:D,3,FALSE())</f>
        <v>Q9072</v>
      </c>
      <c r="C16" t="str">
        <f>VLOOKUP(PROPER(A16),langs!B:F,5,FALSE())</f>
        <v>E56_est</v>
      </c>
    </row>
    <row r="17" ht="14.25">
      <c r="A17" s="1" t="s">
        <v>309</v>
      </c>
      <c r="B17" s="1" t="str">
        <f>VLOOKUP(PROPER(A17),langs!B:D,3,FALSE())</f>
        <v>Q33298</v>
      </c>
      <c r="C17" t="str">
        <f>VLOOKUP(PROPER(A17),langs!B:F,5,FALSE())</f>
        <v>E56_fil</v>
      </c>
    </row>
    <row r="18" ht="14.25">
      <c r="A18" s="1" t="s">
        <v>310</v>
      </c>
      <c r="B18" s="1" t="str">
        <f>VLOOKUP(PROPER(A18),langs!B:D,3,FALSE())</f>
        <v>Q1412</v>
      </c>
      <c r="C18" t="str">
        <f>VLOOKUP(PROPER(A18),langs!B:F,5,FALSE())</f>
        <v>E56_fin</v>
      </c>
    </row>
    <row r="19" ht="14.25">
      <c r="A19" s="1" t="s">
        <v>311</v>
      </c>
      <c r="B19" s="1" t="str">
        <f>VLOOKUP(PROPER(A19),langs!B:D,3,FALSE())</f>
        <v>Q150</v>
      </c>
      <c r="C19" t="str">
        <f>VLOOKUP(PROPER(A19),langs!B:F,5,FALSE())</f>
        <v>E56_fra</v>
      </c>
    </row>
    <row r="20" ht="14.25">
      <c r="A20" s="1" t="s">
        <v>312</v>
      </c>
      <c r="B20" s="1" t="str">
        <f>VLOOKUP(PROPER(A20),langs!B:D,3,FALSE())</f>
        <v>Q8108</v>
      </c>
      <c r="C20" t="str">
        <f>VLOOKUP(PROPER(A20),langs!B:F,5,FALSE())</f>
        <v>E56_kat</v>
      </c>
    </row>
    <row r="21" ht="14.25">
      <c r="A21" s="1" t="s">
        <v>313</v>
      </c>
      <c r="B21" s="1" t="str">
        <f>VLOOKUP(PROPER(A21),langs!B:D,3,FALSE())</f>
        <v>Q188</v>
      </c>
      <c r="C21" t="str">
        <f>VLOOKUP(PROPER(A21),langs!B:F,5,FALSE())</f>
        <v>E56_deu</v>
      </c>
    </row>
    <row r="22" ht="14.25">
      <c r="A22" s="1" t="s">
        <v>314</v>
      </c>
      <c r="B22" s="1" t="str">
        <f>VLOOKUP(PROPER(A22),langs!B:D,3,FALSE())</f>
        <v>Q9129</v>
      </c>
      <c r="C22" t="str">
        <f>VLOOKUP(PROPER(A22),langs!B:F,5,FALSE())</f>
        <v>E56_ell</v>
      </c>
    </row>
    <row r="23" ht="14.25">
      <c r="A23" s="1" t="s">
        <v>315</v>
      </c>
      <c r="B23" s="1" t="str">
        <f>VLOOKUP(PROPER(A23),langs!B:D,3,FALSE())</f>
        <v>Q9288</v>
      </c>
      <c r="C23" t="str">
        <f>VLOOKUP(PROPER(A23),langs!B:F,5,FALSE())</f>
        <v>E56_heb</v>
      </c>
    </row>
    <row r="24" ht="14.25">
      <c r="A24" s="1" t="s">
        <v>316</v>
      </c>
      <c r="B24" s="1" t="str">
        <f>VLOOKUP(PROPER(A24),langs!B:D,3,FALSE())</f>
        <v>Q9067</v>
      </c>
      <c r="C24" t="str">
        <f>VLOOKUP(PROPER(A24),langs!B:F,5,FALSE())</f>
        <v>E56_hun</v>
      </c>
    </row>
    <row r="25" ht="14.25">
      <c r="A25" s="1" t="s">
        <v>317</v>
      </c>
      <c r="B25" s="1" t="str">
        <f>VLOOKUP(PROPER(A25),langs!B:D,3,FALSE())</f>
        <v>Q652</v>
      </c>
      <c r="C25" t="str">
        <f>VLOOKUP(PROPER(A25),langs!B:F,5,FALSE())</f>
        <v>E56_ita</v>
      </c>
    </row>
    <row r="26" ht="14.25">
      <c r="A26" s="1" t="s">
        <v>318</v>
      </c>
      <c r="B26" s="1" t="str">
        <f>VLOOKUP(PROPER(A26),langs!B:D,3,FALSE())</f>
        <v>Q5287</v>
      </c>
      <c r="C26" t="str">
        <f>VLOOKUP(PROPER(A26),langs!B:F,5,FALSE())</f>
        <v>E56_jpn</v>
      </c>
    </row>
    <row r="27" ht="14.25">
      <c r="A27" s="1" t="s">
        <v>319</v>
      </c>
      <c r="B27" s="1" t="str">
        <f>VLOOKUP(PROPER(A27),langs!B:D,3,FALSE())</f>
        <v>Q9176</v>
      </c>
      <c r="C27" t="str">
        <f>VLOOKUP(PROPER(A27),langs!B:F,5,FALSE())</f>
        <v>E56_kor</v>
      </c>
    </row>
    <row r="28" ht="14.25">
      <c r="A28" s="1" t="s">
        <v>320</v>
      </c>
      <c r="B28" s="1" t="str">
        <f>VLOOKUP(PROPER(A28),langs!B:D,3,FALSE())</f>
        <v>Q9078</v>
      </c>
      <c r="C28" t="str">
        <f>VLOOKUP(PROPER(A28),langs!B:F,5,FALSE())</f>
        <v>E56_lav</v>
      </c>
    </row>
    <row r="29" ht="14.25">
      <c r="A29" s="1" t="s">
        <v>321</v>
      </c>
      <c r="B29" s="1" t="str">
        <f>VLOOKUP(PROPER(A29),langs!B:D,3,FALSE())</f>
        <v>Q9083</v>
      </c>
      <c r="C29" t="str">
        <f>VLOOKUP(PROPER(A29),langs!B:F,5,FALSE())</f>
        <v>E56_lit</v>
      </c>
    </row>
    <row r="30" ht="14.25">
      <c r="A30" s="1" t="s">
        <v>322</v>
      </c>
      <c r="B30" s="1" t="str">
        <f>VLOOKUP(PROPER(A30),langs!B:D,3,FALSE())</f>
        <v>Q9296</v>
      </c>
      <c r="C30" t="str">
        <f>VLOOKUP(PROPER(A30),langs!B:F,5,FALSE())</f>
        <v>E56_mkd</v>
      </c>
    </row>
    <row r="31" ht="14.25">
      <c r="A31" s="1" t="s">
        <v>323</v>
      </c>
      <c r="B31" s="1" t="str">
        <f>VLOOKUP(PROPER(A31),langs!B:D,3,FALSE())</f>
        <v>Q36392</v>
      </c>
      <c r="C31" t="str">
        <f>VLOOKUP(PROPER(A31),langs!B:F,5,FALSE())</f>
        <v>E56_mol</v>
      </c>
    </row>
    <row r="32" ht="14.25">
      <c r="A32" s="1" t="s">
        <v>324</v>
      </c>
      <c r="B32" s="1" t="str">
        <f>VLOOKUP(PROPER(A32),langs!B:D,3,FALSE())</f>
        <v>Q9043</v>
      </c>
      <c r="C32" t="str">
        <f>VLOOKUP(PROPER(A32),langs!B:F,5,FALSE())</f>
        <v>E56_nor</v>
      </c>
    </row>
    <row r="33" ht="14.25">
      <c r="A33" s="1" t="s">
        <v>325</v>
      </c>
      <c r="B33" s="1" t="str">
        <f>VLOOKUP(PROPER(A33),langs!B:D,3,FALSE())</f>
        <v>Q9168</v>
      </c>
      <c r="C33" t="str">
        <f>VLOOKUP(PROPER(A33),langs!B:F,5,FALSE())</f>
        <v>E56_fas</v>
      </c>
    </row>
    <row r="34" ht="14.25">
      <c r="A34" s="1" t="s">
        <v>326</v>
      </c>
      <c r="B34" s="1" t="str">
        <f>VLOOKUP(PROPER(A34),langs!B:D,3,FALSE())</f>
        <v>Q809</v>
      </c>
      <c r="C34" t="str">
        <f>VLOOKUP(PROPER(A34),langs!B:F,5,FALSE())</f>
        <v>E56_pol</v>
      </c>
    </row>
    <row r="35" ht="14.25">
      <c r="A35" s="1" t="s">
        <v>327</v>
      </c>
      <c r="B35" s="1" t="str">
        <f>VLOOKUP(PROPER(A35),langs!B:D,3,FALSE())</f>
        <v>Q5146</v>
      </c>
      <c r="C35" t="str">
        <f>VLOOKUP(PROPER(A35),langs!B:F,5,FALSE())</f>
        <v>E56_por</v>
      </c>
    </row>
    <row r="36" ht="14.25">
      <c r="A36" s="1" t="s">
        <v>328</v>
      </c>
      <c r="B36" s="1" t="str">
        <f>VLOOKUP(PROPER(A36),langs!B:D,3,FALSE())</f>
        <v>Q7913</v>
      </c>
      <c r="C36" t="str">
        <f>VLOOKUP(PROPER(A36),langs!B:F,5,FALSE())</f>
        <v>E56_ron</v>
      </c>
    </row>
    <row r="37" ht="14.25">
      <c r="A37" s="1" t="s">
        <v>329</v>
      </c>
      <c r="B37" s="1" t="str">
        <f>VLOOKUP(PROPER(A37),langs!B:D,3,FALSE())</f>
        <v>Q7737</v>
      </c>
      <c r="C37" t="str">
        <f>VLOOKUP(PROPER(A37),langs!B:F,5,FALSE())</f>
        <v>E56_rus</v>
      </c>
    </row>
    <row r="38" ht="14.25">
      <c r="A38" s="1" t="s">
        <v>330</v>
      </c>
      <c r="B38" s="1" t="str">
        <f>VLOOKUP(PROPER(A38),langs!B:D,3,FALSE())</f>
        <v>Q9299</v>
      </c>
      <c r="C38" t="str">
        <f>VLOOKUP(PROPER(A38),langs!B:F,5,FALSE())</f>
        <v>E56_srp</v>
      </c>
    </row>
    <row r="39" ht="14.25">
      <c r="A39" s="1" t="s">
        <v>331</v>
      </c>
      <c r="B39" s="1" t="str">
        <f>VLOOKUP(PROPER(A39),langs!B:D,3,FALSE())</f>
        <v>Q9301</v>
      </c>
      <c r="C39" t="str">
        <f>VLOOKUP(PROPER(A39),langs!B:F,5,FALSE())</f>
        <v>E56_hbs</v>
      </c>
    </row>
    <row r="40" ht="14.25">
      <c r="A40" s="1" t="s">
        <v>332</v>
      </c>
      <c r="B40" s="1" t="str">
        <f>VLOOKUP(PROPER(A40),langs!B:D,3,FALSE())</f>
        <v>Q9058</v>
      </c>
      <c r="C40" t="str">
        <f>VLOOKUP(PROPER(A40),langs!B:F,5,FALSE())</f>
        <v>E56_slk</v>
      </c>
    </row>
    <row r="41" ht="14.25">
      <c r="A41" s="1" t="s">
        <v>333</v>
      </c>
      <c r="B41" s="1" t="str">
        <f>VLOOKUP(PROPER(A41),langs!B:D,3,FALSE())</f>
        <v>Q9063</v>
      </c>
      <c r="C41" t="str">
        <f>VLOOKUP(PROPER(A41),langs!B:F,5,FALSE())</f>
        <v>E56_slv</v>
      </c>
    </row>
    <row r="42" ht="14.25">
      <c r="A42" s="1" t="s">
        <v>334</v>
      </c>
      <c r="B42" s="1" t="str">
        <f>VLOOKUP(PROPER(A42),langs!B:D,3,FALSE())</f>
        <v>Q1321</v>
      </c>
      <c r="C42" t="str">
        <f>VLOOKUP(PROPER(A42),langs!B:F,5,FALSE())</f>
        <v>E56_spa</v>
      </c>
    </row>
    <row r="43" ht="14.25">
      <c r="A43" s="1" t="s">
        <v>335</v>
      </c>
      <c r="B43" s="1" t="str">
        <f>VLOOKUP(PROPER(A43),langs!B:D,3,FALSE())</f>
        <v>Q9027</v>
      </c>
      <c r="C43" t="str">
        <f>VLOOKUP(PROPER(A43),langs!B:F,5,FALSE())</f>
        <v>E56_swe</v>
      </c>
    </row>
    <row r="44" ht="14.25">
      <c r="A44" s="1" t="s">
        <v>336</v>
      </c>
      <c r="B44" s="1" t="str">
        <f>VLOOKUP(PROPER(A44),langs!B:D,3,FALSE())</f>
        <v>Q256</v>
      </c>
      <c r="C44" t="str">
        <f>VLOOKUP(PROPER(A44),langs!B:F,5,FALSE())</f>
        <v>E56_tur</v>
      </c>
    </row>
    <row r="45" ht="14.25">
      <c r="A45" s="1" t="s">
        <v>337</v>
      </c>
      <c r="B45" s="1" t="str">
        <f>VLOOKUP(PROPER(A45),langs!B:D,3,FALSE())</f>
        <v>Q8798</v>
      </c>
      <c r="C45" t="str">
        <f>VLOOKUP(PROPER(A45),langs!B:F,5,FALSE())</f>
        <v>E56_ukr</v>
      </c>
    </row>
    <row r="46" ht="14.25">
      <c r="A46" s="1" t="s">
        <v>338</v>
      </c>
      <c r="B46" s="1" t="str">
        <f>VLOOKUP(PROPER(A46),langs!B:D,3,FALSE())</f>
        <v>Q9199</v>
      </c>
      <c r="C46" t="str">
        <f>VLOOKUP(PROPER(A46),langs!B:F,5,FALSE())</f>
        <v>E56_vie</v>
      </c>
    </row>
    <row r="47" ht="13.800000000000001"/>
  </sheetData>
  <autoFilter ref="A1:C46"/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Roman,Normalny"&amp;12&amp;Kffffff&amp;A</oddHeader>
    <oddFooter>&amp;C&amp;"Times New Roman,Normalny"&amp;12&amp;KffffffPage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10" workbookViewId="0">
      <selection activeCell="D1" activeCellId="0" sqref="D1"/>
    </sheetView>
  </sheetViews>
  <sheetFormatPr defaultColWidth="11.53515625" defaultRowHeight="12.800000000000001" customHeight="1"/>
  <sheetData>
    <row r="1" ht="14.25">
      <c r="A1" s="2" t="s">
        <v>290</v>
      </c>
      <c r="B1" s="2" t="s">
        <v>291</v>
      </c>
      <c r="C1" s="2" t="s">
        <v>3</v>
      </c>
      <c r="D1" s="3" t="s">
        <v>5</v>
      </c>
    </row>
    <row r="2" ht="14.25">
      <c r="A2" s="1" t="s">
        <v>339</v>
      </c>
      <c r="B2" s="1" t="s">
        <v>298</v>
      </c>
      <c r="C2" s="1" t="str">
        <f>VLOOKUP(B2,'map-wiki'!A:B,2,FALSE())</f>
        <v>Q9091</v>
      </c>
      <c r="D2" t="str">
        <f>VLOOKUP(B2,'map-wiki'!A:C,3,FALSE())</f>
        <v>E56_bel</v>
      </c>
    </row>
    <row r="3" ht="14.25">
      <c r="A3" s="1" t="s">
        <v>340</v>
      </c>
      <c r="B3" s="1" t="s">
        <v>317</v>
      </c>
      <c r="C3" s="1" t="str">
        <f>VLOOKUP(B3,'map-wiki'!A:B,2,FALSE())</f>
        <v>Q652</v>
      </c>
      <c r="D3" t="str">
        <f>VLOOKUP(B3,'map-wiki'!A:C,3,FALSE())</f>
        <v>E56_ita</v>
      </c>
    </row>
    <row r="4" ht="14.25">
      <c r="A4" s="1" t="s">
        <v>341</v>
      </c>
      <c r="B4" s="1" t="s">
        <v>323</v>
      </c>
      <c r="C4" s="1" t="str">
        <f>VLOOKUP(B4,'map-wiki'!A:B,2,FALSE())</f>
        <v>Q36392</v>
      </c>
      <c r="D4" t="str">
        <f>VLOOKUP(B4,'map-wiki'!A:C,3,FALSE())</f>
        <v>E56_mol</v>
      </c>
    </row>
    <row r="5" ht="14.25">
      <c r="A5" s="1" t="s">
        <v>342</v>
      </c>
      <c r="B5" s="1" t="s">
        <v>327</v>
      </c>
      <c r="C5" s="1" t="str">
        <f>VLOOKUP(B5,'map-wiki'!A:B,2,FALSE())</f>
        <v>Q5146</v>
      </c>
      <c r="D5" t="str">
        <f>VLOOKUP(B5,'map-wiki'!A:C,3,FALSE())</f>
        <v>E56_por</v>
      </c>
    </row>
  </sheetData>
  <autoFilter ref="A1:D5"/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Roman,Normalny"&amp;12&amp;Kffffff&amp;A</oddHeader>
    <oddFooter>&amp;C&amp;"Times New Roman,Normalny"&amp;12&amp;KffffffPage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10" workbookViewId="0">
      <pane ySplit="1" topLeftCell="A2" activePane="bottomLeft" state="frozen"/>
      <selection activeCell="E17" activeCellId="0" sqref="E17"/>
    </sheetView>
  </sheetViews>
  <sheetFormatPr defaultColWidth="11.53515625" defaultRowHeight="12.800000000000001" customHeight="1"/>
  <sheetData>
    <row r="1" ht="14.25">
      <c r="A1" s="3" t="s">
        <v>293</v>
      </c>
      <c r="B1" s="3" t="s">
        <v>0</v>
      </c>
      <c r="C1" s="3" t="s">
        <v>4</v>
      </c>
      <c r="D1" s="3" t="s">
        <v>3</v>
      </c>
      <c r="E1" s="3" t="s">
        <v>5</v>
      </c>
    </row>
    <row r="2" ht="14.25">
      <c r="A2" t="s">
        <v>343</v>
      </c>
      <c r="B2" t="s">
        <v>344</v>
      </c>
      <c r="C2" t="s">
        <v>225</v>
      </c>
      <c r="D2" t="str">
        <f>VLOOKUP(UPPER(B2),langs!A:D,4,FALSE())</f>
        <v>Q8748</v>
      </c>
      <c r="E2" s="6" t="str">
        <f>VLOOKUP(UPPER(C2),langs!E:F,2,FALSE())</f>
        <v>E56_sqi</v>
      </c>
    </row>
    <row r="3" ht="14.25">
      <c r="A3" t="s">
        <v>345</v>
      </c>
      <c r="B3" t="s">
        <v>346</v>
      </c>
      <c r="C3" t="s">
        <v>70</v>
      </c>
      <c r="D3" t="str">
        <f>VLOOKUP(UPPER(B3),langs!A:D,4,FALSE())</f>
        <v>Q1860</v>
      </c>
      <c r="E3" t="str">
        <f>VLOOKUP(UPPER(C3),langs!E:F,2,FALSE())</f>
        <v>E56_eng</v>
      </c>
    </row>
    <row r="4" ht="14.25">
      <c r="A4" t="s">
        <v>10</v>
      </c>
      <c r="B4" t="s">
        <v>347</v>
      </c>
      <c r="C4" t="s">
        <v>10</v>
      </c>
      <c r="D4" t="str">
        <f>VLOOKUP(UPPER(B4),langs!A:D,4,FALSE())</f>
        <v>Q13955</v>
      </c>
      <c r="E4" t="str">
        <f>VLOOKUP(UPPER(C4),langs!E:F,2,FALSE())</f>
        <v>E56_ara</v>
      </c>
    </row>
    <row r="5" ht="14.25">
      <c r="A5" t="s">
        <v>348</v>
      </c>
      <c r="B5" t="s">
        <v>349</v>
      </c>
      <c r="C5" t="s">
        <v>135</v>
      </c>
      <c r="D5" t="str">
        <f>VLOOKUP(UPPER(B5),langs!A:D,4,FALSE())</f>
        <v>Q8785</v>
      </c>
      <c r="E5" t="str">
        <f>VLOOKUP(UPPER(C5),langs!E:F,2,FALSE())</f>
        <v>E56_hye</v>
      </c>
    </row>
    <row r="6" ht="14.25">
      <c r="A6" t="s">
        <v>350</v>
      </c>
      <c r="B6" t="s">
        <v>351</v>
      </c>
      <c r="C6" t="s">
        <v>15</v>
      </c>
      <c r="D6" t="str">
        <f>VLOOKUP(UPPER(B6),langs!A:D,4,FALSE())</f>
        <v>Q9292</v>
      </c>
      <c r="E6" t="str">
        <f>VLOOKUP(UPPER(C6),langs!E:F,2,FALSE())</f>
        <v>E56_aze</v>
      </c>
    </row>
    <row r="7" ht="14.25">
      <c r="A7" t="s">
        <v>352</v>
      </c>
      <c r="B7" t="s">
        <v>353</v>
      </c>
      <c r="C7" t="s">
        <v>20</v>
      </c>
      <c r="D7" t="str">
        <f>VLOOKUP(UPPER(B7),langs!A:D,4,FALSE())</f>
        <v>Q13389</v>
      </c>
      <c r="E7" t="str">
        <f>VLOOKUP(UPPER(C7),langs!E:F,2,FALSE())</f>
        <v>E56_bak</v>
      </c>
    </row>
    <row r="8" ht="14.25">
      <c r="A8" t="s">
        <v>25</v>
      </c>
      <c r="B8" t="s">
        <v>354</v>
      </c>
      <c r="C8" t="s">
        <v>25</v>
      </c>
      <c r="D8" t="str">
        <f>VLOOKUP(UPPER(B8),langs!A:D,4,FALSE())</f>
        <v>Q9091</v>
      </c>
      <c r="E8" t="str">
        <f>VLOOKUP(UPPER(C8),langs!E:F,2,FALSE())</f>
        <v>E56_bel</v>
      </c>
    </row>
    <row r="9" ht="14.25">
      <c r="A9" t="s">
        <v>355</v>
      </c>
      <c r="B9" t="s">
        <v>356</v>
      </c>
      <c r="C9" t="s">
        <v>30</v>
      </c>
      <c r="D9" t="str">
        <f>VLOOKUP(UPPER(B9),langs!A:D,4,FALSE())</f>
        <v>Q7918</v>
      </c>
      <c r="E9" t="str">
        <f>VLOOKUP(UPPER(C9),langs!E:F,2,FALSE())</f>
        <v>E56_bul</v>
      </c>
    </row>
    <row r="10" ht="14.25">
      <c r="A10" t="s">
        <v>50</v>
      </c>
      <c r="B10" t="s">
        <v>357</v>
      </c>
      <c r="C10" t="s">
        <v>50</v>
      </c>
      <c r="D10" t="str">
        <f>VLOOKUP(UPPER(B10),langs!A:D,4,FALSE())</f>
        <v>Q9056</v>
      </c>
      <c r="E10" t="str">
        <f>VLOOKUP(UPPER(C10),langs!E:F,2,FALSE())</f>
        <v>E56_ces</v>
      </c>
    </row>
    <row r="11" ht="14.25">
      <c r="A11" t="s">
        <v>358</v>
      </c>
      <c r="B11" t="s">
        <v>359</v>
      </c>
      <c r="C11" t="s">
        <v>55</v>
      </c>
      <c r="D11" t="str">
        <f>VLOOKUP(UPPER(B11),langs!A:D,4,FALSE())</f>
        <v>Q9035</v>
      </c>
      <c r="E11" t="str">
        <f>VLOOKUP(UPPER(C11),langs!E:F,2,FALSE())</f>
        <v>E56_dan</v>
      </c>
    </row>
    <row r="12" ht="14.25">
      <c r="A12" t="s">
        <v>360</v>
      </c>
      <c r="B12" t="s">
        <v>361</v>
      </c>
      <c r="C12" t="s">
        <v>75</v>
      </c>
      <c r="D12" t="str">
        <f>VLOOKUP(UPPER(B12),langs!A:D,4,FALSE())</f>
        <v>Q143</v>
      </c>
      <c r="E12" t="str">
        <f>VLOOKUP(UPPER(C12),langs!E:F,2,FALSE())</f>
        <v>E56_epo</v>
      </c>
    </row>
    <row r="13" ht="14.25">
      <c r="A13" t="s">
        <v>85</v>
      </c>
      <c r="B13" t="s">
        <v>362</v>
      </c>
      <c r="C13" t="s">
        <v>85</v>
      </c>
      <c r="D13" t="str">
        <f>VLOOKUP(UPPER(B13),langs!A:D,4,FALSE())</f>
        <v>Q9072</v>
      </c>
      <c r="E13" t="str">
        <f>VLOOKUP(UPPER(C13),langs!E:F,2,FALSE())</f>
        <v>E56_est</v>
      </c>
    </row>
    <row r="14" ht="14.25">
      <c r="A14" t="s">
        <v>100</v>
      </c>
      <c r="B14" t="s">
        <v>363</v>
      </c>
      <c r="C14" t="s">
        <v>100</v>
      </c>
      <c r="D14" t="str">
        <f>VLOOKUP(UPPER(B14),langs!A:D,4,FALSE())</f>
        <v>Q1412</v>
      </c>
      <c r="E14" t="str">
        <f>VLOOKUP(UPPER(C14),langs!E:F,2,FALSE())</f>
        <v>E56_fin</v>
      </c>
    </row>
    <row r="15" ht="14.25">
      <c r="A15" t="s">
        <v>105</v>
      </c>
      <c r="B15" t="s">
        <v>364</v>
      </c>
      <c r="C15" t="s">
        <v>105</v>
      </c>
      <c r="D15" t="str">
        <f>VLOOKUP(UPPER(B15),langs!A:D,4,FALSE())</f>
        <v>Q150</v>
      </c>
      <c r="E15" t="str">
        <f>VLOOKUP(UPPER(C15),langs!E:F,2,FALSE())</f>
        <v>E56_fra</v>
      </c>
    </row>
    <row r="16" ht="14.25">
      <c r="A16" t="s">
        <v>365</v>
      </c>
      <c r="B16" t="s">
        <v>366</v>
      </c>
      <c r="C16" t="s">
        <v>185</v>
      </c>
      <c r="D16" t="str">
        <f>VLOOKUP(UPPER(B16),langs!A:D,4,FALSE())</f>
        <v>Q7411</v>
      </c>
      <c r="E16" t="str">
        <f>VLOOKUP(UPPER(C16),langs!E:F,2,FALSE())</f>
        <v>E56_nld</v>
      </c>
    </row>
    <row r="17" ht="14.25">
      <c r="A17" t="s">
        <v>367</v>
      </c>
      <c r="B17" t="s">
        <v>368</v>
      </c>
      <c r="C17" s="6" t="s">
        <v>65</v>
      </c>
      <c r="D17" t="str">
        <f>VLOOKUP(UPPER(B17),langs!A:D,4,FALSE())</f>
        <v>Q9129</v>
      </c>
      <c r="E17" t="str">
        <f>VLOOKUP(UPPER(C17),langs!E:F,2,FALSE())</f>
        <v>E56_ell</v>
      </c>
    </row>
    <row r="18" ht="14.25">
      <c r="A18" t="s">
        <v>369</v>
      </c>
      <c r="B18" t="s">
        <v>370</v>
      </c>
      <c r="C18" t="s">
        <v>150</v>
      </c>
      <c r="D18" t="str">
        <f>VLOOKUP(UPPER(B18),langs!A:D,4,FALSE())</f>
        <v>Q8108</v>
      </c>
      <c r="E18" t="str">
        <f>VLOOKUP(UPPER(C18),langs!E:F,2,FALSE())</f>
        <v>E56_kat</v>
      </c>
    </row>
    <row r="19" ht="14.25">
      <c r="A19" t="s">
        <v>125</v>
      </c>
      <c r="B19" t="s">
        <v>371</v>
      </c>
      <c r="C19" t="s">
        <v>125</v>
      </c>
      <c r="D19" t="str">
        <f>VLOOKUP(UPPER(B19),langs!A:D,4,FALSE())</f>
        <v>Q6654</v>
      </c>
      <c r="E19" t="str">
        <f>VLOOKUP(UPPER(C19),langs!E:F,2,FALSE())</f>
        <v>E56_hrv</v>
      </c>
    </row>
    <row r="20" ht="14.25">
      <c r="A20" t="s">
        <v>372</v>
      </c>
      <c r="B20" t="s">
        <v>373</v>
      </c>
      <c r="C20" t="s">
        <v>80</v>
      </c>
      <c r="D20" t="str">
        <f>VLOOKUP(UPPER(B20),langs!A:D,4,FALSE())</f>
        <v>Q1321</v>
      </c>
      <c r="E20" t="str">
        <f>VLOOKUP(UPPER(C20),langs!E:F,2,FALSE())</f>
        <v>E56_spa</v>
      </c>
    </row>
    <row r="21" ht="14.25">
      <c r="A21" t="s">
        <v>140</v>
      </c>
      <c r="B21" t="s">
        <v>374</v>
      </c>
      <c r="C21" t="s">
        <v>140</v>
      </c>
      <c r="D21" t="str">
        <f>VLOOKUP(UPPER(B21),langs!A:D,4,FALSE())</f>
        <v>Q652</v>
      </c>
      <c r="E21" t="str">
        <f>VLOOKUP(UPPER(C21),langs!E:F,2,FALSE())</f>
        <v>E56_ita</v>
      </c>
    </row>
    <row r="22" ht="14.25">
      <c r="A22" t="s">
        <v>375</v>
      </c>
      <c r="B22" t="s">
        <v>376</v>
      </c>
      <c r="C22" t="s">
        <v>115</v>
      </c>
      <c r="D22" t="str">
        <f>VLOOKUP(UPPER(B22),langs!A:D,4,FALSE())</f>
        <v>Q9288</v>
      </c>
      <c r="E22" t="str">
        <f>VLOOKUP(UPPER(C22),langs!E:F,2,FALSE())</f>
        <v>E56_heb</v>
      </c>
    </row>
    <row r="23" ht="14.25">
      <c r="A23" t="s">
        <v>150</v>
      </c>
      <c r="B23" t="s">
        <v>377</v>
      </c>
      <c r="C23" t="s">
        <v>45</v>
      </c>
      <c r="D23" t="str">
        <f>VLOOKUP(UPPER(B23),langs!A:D,4,FALSE())</f>
        <v>Q7026</v>
      </c>
      <c r="E23" t="str">
        <f>VLOOKUP(UPPER(C23),langs!E:F,2,FALSE())</f>
        <v>E56_cat</v>
      </c>
    </row>
    <row r="24" ht="14.25">
      <c r="A24" t="s">
        <v>155</v>
      </c>
      <c r="B24" t="s">
        <v>378</v>
      </c>
      <c r="C24" t="s">
        <v>155</v>
      </c>
      <c r="D24" t="str">
        <f>VLOOKUP(UPPER(B24),langs!A:D,4,FALSE())</f>
        <v>Q9252</v>
      </c>
      <c r="E24" t="str">
        <f>VLOOKUP(UPPER(C24),langs!E:F,2,FALSE())</f>
        <v>E56_kaz</v>
      </c>
    </row>
    <row r="25" ht="14.25">
      <c r="A25" t="s">
        <v>379</v>
      </c>
      <c r="B25" t="s">
        <v>380</v>
      </c>
      <c r="C25" t="s">
        <v>260</v>
      </c>
      <c r="D25" t="str">
        <f>VLOOKUP(UPPER(B25),langs!A:D,4,FALSE())</f>
        <v>Q7850</v>
      </c>
      <c r="E25" t="str">
        <f>VLOOKUP(UPPER(C25),langs!E:F,2,FALSE())</f>
        <v>E56_zho</v>
      </c>
    </row>
    <row r="26" ht="14.25">
      <c r="A26" t="s">
        <v>160</v>
      </c>
      <c r="B26" t="s">
        <v>381</v>
      </c>
      <c r="C26" t="s">
        <v>160</v>
      </c>
      <c r="D26" t="str">
        <f>VLOOKUP(UPPER(B26),langs!A:D,4,FALSE())</f>
        <v>Q9176</v>
      </c>
      <c r="E26" t="str">
        <f>VLOOKUP(UPPER(C26),langs!E:F,2,FALSE())</f>
        <v>E56_kor</v>
      </c>
    </row>
    <row r="27" ht="14.25">
      <c r="A27" t="s">
        <v>382</v>
      </c>
      <c r="B27" t="s">
        <v>383</v>
      </c>
      <c r="C27" t="s">
        <v>170</v>
      </c>
      <c r="D27" t="str">
        <f>VLOOKUP(UPPER(B27),langs!A:D,4,FALSE())</f>
        <v>Q9078</v>
      </c>
      <c r="E27" t="str">
        <f>VLOOKUP(UPPER(C27),langs!E:F,2,FALSE())</f>
        <v>E56_lav</v>
      </c>
    </row>
    <row r="28" ht="14.25">
      <c r="A28" t="s">
        <v>165</v>
      </c>
      <c r="B28" t="s">
        <v>384</v>
      </c>
      <c r="C28" t="s">
        <v>165</v>
      </c>
      <c r="D28" t="str">
        <f>VLOOKUP(UPPER(B28),langs!A:D,4,FALSE())</f>
        <v>Q9083</v>
      </c>
      <c r="E28" t="str">
        <f>VLOOKUP(UPPER(C28),langs!E:F,2,FALSE())</f>
        <v>E56_lit</v>
      </c>
    </row>
    <row r="29" ht="14.25">
      <c r="A29" t="s">
        <v>385</v>
      </c>
      <c r="B29" t="s">
        <v>386</v>
      </c>
      <c r="C29" t="s">
        <v>175</v>
      </c>
      <c r="D29" t="str">
        <f>VLOOKUP(UPPER(B29),langs!A:D,4,FALSE())</f>
        <v>Q9296</v>
      </c>
      <c r="E29" t="str">
        <f>VLOOKUP(UPPER(C29),langs!E:F,2,FALSE())</f>
        <v>E56_mkd</v>
      </c>
    </row>
    <row r="30" ht="14.25">
      <c r="A30" t="s">
        <v>279</v>
      </c>
      <c r="B30" t="s">
        <v>387</v>
      </c>
      <c r="C30" s="1" t="s">
        <v>279</v>
      </c>
      <c r="D30" t="str">
        <f>VLOOKUP(UPPER(B30),langs!A:D,4,FALSE())</f>
        <v>Q36392</v>
      </c>
      <c r="E30" t="str">
        <f>VLOOKUP(UPPER(C30),langs!E:F,2,FALSE())</f>
        <v>E56_mol</v>
      </c>
    </row>
    <row r="31" ht="14.25">
      <c r="A31" t="s">
        <v>180</v>
      </c>
      <c r="B31" t="s">
        <v>388</v>
      </c>
      <c r="C31" t="s">
        <v>180</v>
      </c>
      <c r="D31" t="str">
        <f>VLOOKUP(UPPER(B31),langs!A:D,4,FALSE())</f>
        <v>Q9246</v>
      </c>
      <c r="E31" t="str">
        <f>VLOOKUP(UPPER(C31),langs!E:F,2,FALSE())</f>
        <v>E56_mon</v>
      </c>
    </row>
    <row r="32" ht="14.25">
      <c r="A32" t="s">
        <v>389</v>
      </c>
      <c r="B32" t="s">
        <v>390</v>
      </c>
      <c r="C32" t="s">
        <v>60</v>
      </c>
      <c r="D32" t="str">
        <f>VLOOKUP(UPPER(B32),langs!A:D,4,FALSE())</f>
        <v>Q188</v>
      </c>
      <c r="E32" t="str">
        <f>VLOOKUP(UPPER(C32),langs!E:F,2,FALSE())</f>
        <v>E56_deu</v>
      </c>
    </row>
    <row r="33" ht="14.25">
      <c r="A33" t="s">
        <v>190</v>
      </c>
      <c r="B33" t="s">
        <v>391</v>
      </c>
      <c r="C33" t="s">
        <v>190</v>
      </c>
      <c r="D33" t="str">
        <f>VLOOKUP(UPPER(B33),langs!A:D,4,FALSE())</f>
        <v>Q9043</v>
      </c>
      <c r="E33" t="str">
        <f>VLOOKUP(UPPER(C33),langs!E:F,2,FALSE())</f>
        <v>E56_nor</v>
      </c>
    </row>
    <row r="34" ht="14.25">
      <c r="A34" t="s">
        <v>195</v>
      </c>
      <c r="B34" t="s">
        <v>392</v>
      </c>
      <c r="C34" t="s">
        <v>195</v>
      </c>
      <c r="D34" t="str">
        <f>VLOOKUP(UPPER(B34),langs!A:D,4,FALSE())</f>
        <v>Q809</v>
      </c>
      <c r="E34" t="str">
        <f>VLOOKUP(UPPER(C34),langs!E:F,2,FALSE())</f>
        <v>E56_pol</v>
      </c>
    </row>
    <row r="35" ht="14.25">
      <c r="A35" t="s">
        <v>200</v>
      </c>
      <c r="B35" t="s">
        <v>393</v>
      </c>
      <c r="C35" t="s">
        <v>200</v>
      </c>
      <c r="D35" t="str">
        <f>VLOOKUP(UPPER(B35),langs!A:D,4,FALSE())</f>
        <v>Q5146</v>
      </c>
      <c r="E35" t="str">
        <f>VLOOKUP(UPPER(C35),langs!E:F,2,FALSE())</f>
        <v>E56_por</v>
      </c>
    </row>
    <row r="36" ht="14.25">
      <c r="A36" t="s">
        <v>394</v>
      </c>
      <c r="B36" t="s">
        <v>395</v>
      </c>
      <c r="C36" t="s">
        <v>205</v>
      </c>
      <c r="D36" t="str">
        <f>VLOOKUP(UPPER(B36),langs!A:D,4,FALSE())</f>
        <v>Q7913</v>
      </c>
      <c r="E36" t="str">
        <f>VLOOKUP(UPPER(C36),langs!E:F,2,FALSE())</f>
        <v>E56_ron</v>
      </c>
    </row>
    <row r="37" ht="14.25">
      <c r="A37" t="s">
        <v>210</v>
      </c>
      <c r="B37" t="s">
        <v>396</v>
      </c>
      <c r="C37" t="s">
        <v>210</v>
      </c>
      <c r="D37" t="str">
        <f>VLOOKUP(UPPER(B37),langs!A:D,4,FALSE())</f>
        <v>Q7737</v>
      </c>
      <c r="E37" t="str">
        <f>VLOOKUP(UPPER(C37),langs!E:F,2,FALSE())</f>
        <v>E56_rus</v>
      </c>
    </row>
    <row r="38" ht="14.25">
      <c r="A38" t="s">
        <v>397</v>
      </c>
      <c r="B38" t="s">
        <v>398</v>
      </c>
      <c r="C38" t="s">
        <v>270</v>
      </c>
      <c r="D38" t="str">
        <f>VLOOKUP(UPPER(B38),langs!A:D,4,FALSE())</f>
        <v>Q9301</v>
      </c>
      <c r="E38" t="str">
        <f>VLOOKUP(UPPER(C38),langs!E:F,2,FALSE())</f>
        <v>E56_hbs</v>
      </c>
    </row>
    <row r="39" ht="14.25">
      <c r="A39" t="s">
        <v>284</v>
      </c>
      <c r="B39" t="s">
        <v>399</v>
      </c>
      <c r="C39" t="s">
        <v>284</v>
      </c>
      <c r="D39" t="str">
        <f>VLOOKUP(UPPER(B39),langs!A:D,4,FALSE())</f>
        <v>Q13267</v>
      </c>
      <c r="E39" t="str">
        <f>VLOOKUP(UPPER(C39),langs!E:F,2,FALSE())</f>
        <v>E56_sin</v>
      </c>
    </row>
    <row r="40" ht="14.25">
      <c r="A40" t="s">
        <v>400</v>
      </c>
      <c r="B40" t="s">
        <v>401</v>
      </c>
      <c r="C40" t="s">
        <v>220</v>
      </c>
      <c r="D40" t="str">
        <f>VLOOKUP(UPPER(B40),langs!A:D,4,FALSE())</f>
        <v>Q9063</v>
      </c>
      <c r="E40" t="str">
        <f>VLOOKUP(UPPER(C40),langs!E:F,2,FALSE())</f>
        <v>E56_slv</v>
      </c>
    </row>
    <row r="41" ht="14.25">
      <c r="A41" t="s">
        <v>402</v>
      </c>
      <c r="B41" t="s">
        <v>403</v>
      </c>
      <c r="C41" t="s">
        <v>215</v>
      </c>
      <c r="D41" t="str">
        <f>VLOOKUP(UPPER(B41),langs!A:D,4,FALSE())</f>
        <v>Q9058</v>
      </c>
      <c r="E41" t="str">
        <f>VLOOKUP(UPPER(C41),langs!E:F,2,FALSE())</f>
        <v>E56_slk</v>
      </c>
    </row>
    <row r="42" ht="14.25">
      <c r="A42" t="s">
        <v>404</v>
      </c>
      <c r="B42" t="s">
        <v>405</v>
      </c>
      <c r="C42" t="s">
        <v>230</v>
      </c>
      <c r="D42" t="str">
        <f>VLOOKUP(UPPER(B42),langs!A:D,4,FALSE())</f>
        <v>Q9299</v>
      </c>
      <c r="E42" t="str">
        <f>VLOOKUP(UPPER(C42),langs!E:F,2,FALSE())</f>
        <v>E56_srp</v>
      </c>
    </row>
    <row r="43" ht="14.25">
      <c r="A43" t="s">
        <v>406</v>
      </c>
      <c r="B43" t="s">
        <v>407</v>
      </c>
      <c r="C43" t="s">
        <v>235</v>
      </c>
      <c r="D43" t="str">
        <f>VLOOKUP(UPPER(B43),langs!A:D,4,FALSE())</f>
        <v>Q9027</v>
      </c>
      <c r="E43" t="str">
        <f>VLOOKUP(UPPER(C43),langs!E:F,2,FALSE())</f>
        <v>E56_swe</v>
      </c>
    </row>
    <row r="44" ht="14.25">
      <c r="A44" t="s">
        <v>289</v>
      </c>
      <c r="B44" t="s">
        <v>408</v>
      </c>
      <c r="C44" t="s">
        <v>289</v>
      </c>
      <c r="D44" t="str">
        <f>VLOOKUP(UPPER(B44),langs!A:D,4,FALSE())</f>
        <v>Q25285</v>
      </c>
      <c r="E44" t="str">
        <f>VLOOKUP(UPPER(C44),langs!E:F,2,FALSE())</f>
        <v>E56_tat</v>
      </c>
    </row>
    <row r="45" ht="14.25">
      <c r="A45" t="s">
        <v>240</v>
      </c>
      <c r="B45" t="s">
        <v>409</v>
      </c>
      <c r="C45" t="s">
        <v>240</v>
      </c>
      <c r="D45" t="str">
        <f>VLOOKUP(UPPER(B45),langs!A:D,4,FALSE())</f>
        <v>Q256</v>
      </c>
      <c r="E45" t="str">
        <f>VLOOKUP(UPPER(C45),langs!E:F,2,FALSE())</f>
        <v>E56_tur</v>
      </c>
    </row>
    <row r="46" ht="14.25">
      <c r="A46" t="s">
        <v>245</v>
      </c>
      <c r="B46" t="s">
        <v>410</v>
      </c>
      <c r="C46" t="s">
        <v>245</v>
      </c>
      <c r="D46" t="str">
        <f>VLOOKUP(UPPER(B46),langs!A:D,4,FALSE())</f>
        <v>Q8798</v>
      </c>
      <c r="E46" t="str">
        <f>VLOOKUP(UPPER(C46),langs!E:F,2,FALSE())</f>
        <v>E56_ukr</v>
      </c>
    </row>
    <row r="47" ht="14.25">
      <c r="A47" t="s">
        <v>250</v>
      </c>
      <c r="B47" t="s">
        <v>411</v>
      </c>
      <c r="C47" t="s">
        <v>250</v>
      </c>
      <c r="D47" t="str">
        <f>VLOOKUP(UPPER(B47),langs!A:D,4,FALSE())</f>
        <v>Q9264</v>
      </c>
      <c r="E47" t="str">
        <f>VLOOKUP(UPPER(C47),langs!E:F,2,FALSE())</f>
        <v>E56_uzb</v>
      </c>
    </row>
    <row r="48" ht="14.25">
      <c r="A48" t="s">
        <v>412</v>
      </c>
      <c r="B48" t="s">
        <v>413</v>
      </c>
      <c r="C48" t="s">
        <v>130</v>
      </c>
      <c r="D48" t="str">
        <f>VLOOKUP(UPPER(B48),langs!A:D,4,FALSE())</f>
        <v>Q9067</v>
      </c>
      <c r="E48" t="str">
        <f>VLOOKUP(UPPER(C48),langs!E:F,2,FALSE())</f>
        <v>E56_hun</v>
      </c>
    </row>
    <row r="49" ht="14.25">
      <c r="A49" t="s">
        <v>255</v>
      </c>
      <c r="B49" t="s">
        <v>414</v>
      </c>
      <c r="C49" t="s">
        <v>255</v>
      </c>
      <c r="D49" t="str">
        <f>VLOOKUP(UPPER(B49),langs!A:D,4,FALSE())</f>
        <v>Q9199</v>
      </c>
      <c r="E49" t="str">
        <f>VLOOKUP(UPPER(C49),langs!E:F,2,FALSE())</f>
        <v>E56_vie</v>
      </c>
    </row>
    <row r="50" ht="14.25">
      <c r="A50" t="s">
        <v>415</v>
      </c>
      <c r="B50" t="s">
        <v>416</v>
      </c>
      <c r="C50" t="s">
        <v>145</v>
      </c>
      <c r="D50" t="str">
        <f>VLOOKUP(UPPER(B50),langs!A:D,4,FALSE())</f>
        <v>Q5287</v>
      </c>
      <c r="E50" t="str">
        <f>VLOOKUP(UPPER(C50),langs!E:F,2,FALSE())</f>
        <v>E56_jpn</v>
      </c>
    </row>
  </sheetData>
  <autoFilter ref="A1:E50"/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Roman,Normalny"&amp;12&amp;Kffffff&amp;A</oddHeader>
    <oddFooter>&amp;C&amp;"Times New Roman,Normalny"&amp;12&amp;KffffffPage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Janek</dc:creator>
  <dc:description/>
  <dc:language>pl-PL</dc:language>
  <cp:revision>33</cp:revision>
  <dcterms:created xsi:type="dcterms:W3CDTF">2015-06-05T18:17:20Z</dcterms:created>
  <dcterms:modified xsi:type="dcterms:W3CDTF">2025-12-18T16:21:15Z</dcterms:modified>
</cp:coreProperties>
</file>