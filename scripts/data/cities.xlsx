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2" showHorizontalScroll="1" showVerticalScroll="1"/>
  </bookViews>
  <sheets>
    <sheet name="yaz-place-list" sheetId="1" state="visible" r:id="rId1"/>
    <sheet name="data" sheetId="2" state="visible" r:id="rId2"/>
    <sheet name="wiki-place" sheetId="3" state="visible" r:id="rId3"/>
  </sheets>
  <definedNames>
    <definedName name="_xlnm._FilterDatabase" localSheetId="1" hidden="1">data!$A$1:$H$235</definedName>
    <definedName name="_xlnm._FilterDatabase" localSheetId="2" hidden="1">'wiki-place'!$A$1:$F$127</definedName>
    <definedName name="_xlnm._FilterDatabase" localSheetId="1" hidden="1">data!$A$1:$H$235</definedName>
    <definedName name="_xlnm._FilterDatabase" localSheetId="2" hidden="1">'wiki-place'!$A$1:$F$127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<sst xmlns="http://schemas.openxmlformats.org/spreadsheetml/2006/main" count="1186" uniqueCount="1186">
  <si>
    <t>city</t>
  </si>
  <si>
    <t>geonameid</t>
  </si>
  <si>
    <t>uri</t>
  </si>
  <si>
    <t>K.</t>
  </si>
  <si>
    <t>3094802</t>
  </si>
  <si>
    <t>K.:</t>
  </si>
  <si>
    <t>Milano</t>
  </si>
  <si>
    <t>3173435</t>
  </si>
  <si>
    <t>N.Y.</t>
  </si>
  <si>
    <t>5128581</t>
  </si>
  <si>
    <t>W.</t>
  </si>
  <si>
    <t>756135</t>
  </si>
  <si>
    <t>Bucureşti</t>
  </si>
  <si>
    <t>683506</t>
  </si>
  <si>
    <t>İstanbul</t>
  </si>
  <si>
    <t>745044</t>
  </si>
  <si>
    <t>Essen</t>
  </si>
  <si>
    <t>2928810</t>
  </si>
  <si>
    <t xml:space="preserve">Rio de Janeiro</t>
  </si>
  <si>
    <t>3451190</t>
  </si>
  <si>
    <t>Amsterdam</t>
  </si>
  <si>
    <t>2759794</t>
  </si>
  <si>
    <t>Paris</t>
  </si>
  <si>
    <t>2988507</t>
  </si>
  <si>
    <t>F.a.M.</t>
  </si>
  <si>
    <t>2925533</t>
  </si>
  <si>
    <t>B.</t>
  </si>
  <si>
    <t>2950159</t>
  </si>
  <si>
    <t>Berlin</t>
  </si>
  <si>
    <t xml:space="preserve">F.a.M., B.</t>
  </si>
  <si>
    <t>Stuttgart</t>
  </si>
  <si>
    <t>2825297</t>
  </si>
  <si>
    <t>Saarbrücken</t>
  </si>
  <si>
    <t>2842647</t>
  </si>
  <si>
    <t>Liverpool</t>
  </si>
  <si>
    <t>2644210</t>
  </si>
  <si>
    <t>Praha</t>
  </si>
  <si>
    <t>3067696</t>
  </si>
  <si>
    <t>Ljubljana</t>
  </si>
  <si>
    <t>3196359</t>
  </si>
  <si>
    <t>L.</t>
  </si>
  <si>
    <t>2643743</t>
  </si>
  <si>
    <t xml:space="preserve">Mem Martins</t>
  </si>
  <si>
    <t>2266464</t>
  </si>
  <si>
    <t xml:space="preserve">Buenos Aires</t>
  </si>
  <si>
    <t>3435910</t>
  </si>
  <si>
    <r>
      <rPr>
        <sz val="11"/>
        <color theme="1"/>
        <rFont val="Calibri"/>
      </rPr>
      <t xml:space="preserve">Tokyo / </t>
    </r>
    <r>
      <rPr>
        <sz val="11"/>
        <color theme="1"/>
        <rFont val="Microsoft YaHei"/>
      </rPr>
      <t>東京</t>
    </r>
  </si>
  <si>
    <t>1850147</t>
  </si>
  <si>
    <t xml:space="preserve">Darmstadt, Niemcy</t>
  </si>
  <si>
    <t>2938913</t>
  </si>
  <si>
    <t xml:space="preserve">Cambridge, London</t>
  </si>
  <si>
    <t>2653941</t>
  </si>
  <si>
    <t>Скопjе</t>
  </si>
  <si>
    <t>785842</t>
  </si>
  <si>
    <t>М.</t>
  </si>
  <si>
    <t>524901</t>
  </si>
  <si>
    <t>Минск</t>
  </si>
  <si>
    <t>625144</t>
  </si>
  <si>
    <t>Самара</t>
  </si>
  <si>
    <t>499099</t>
  </si>
  <si>
    <t>Пермь</t>
  </si>
  <si>
    <t>511196</t>
  </si>
  <si>
    <t>Абакан</t>
  </si>
  <si>
    <t>1512236</t>
  </si>
  <si>
    <t xml:space="preserve">Schweiz: Kanton Aargau</t>
  </si>
  <si>
    <t>2661876</t>
  </si>
  <si>
    <t>Warsaw</t>
  </si>
  <si>
    <t xml:space="preserve">Melbourne, Australia</t>
  </si>
  <si>
    <t>2158177</t>
  </si>
  <si>
    <t>Lublin</t>
  </si>
  <si>
    <t>765876</t>
  </si>
  <si>
    <t>München</t>
  </si>
  <si>
    <t>2867714</t>
  </si>
  <si>
    <t xml:space="preserve">Novi Sad</t>
  </si>
  <si>
    <t>3194360</t>
  </si>
  <si>
    <t>Debrecen</t>
  </si>
  <si>
    <t>721472</t>
  </si>
  <si>
    <t>Paryż</t>
  </si>
  <si>
    <t>Dresden</t>
  </si>
  <si>
    <t>2935022</t>
  </si>
  <si>
    <t xml:space="preserve">Warszawa, Chicago, Sydney, Dortmund, Paryż</t>
  </si>
  <si>
    <t>Tarnobrzeg</t>
  </si>
  <si>
    <t>757033</t>
  </si>
  <si>
    <t xml:space="preserve">Paris, Francja</t>
  </si>
  <si>
    <t>Radom</t>
  </si>
  <si>
    <t>760778</t>
  </si>
  <si>
    <t>Vilnius</t>
  </si>
  <si>
    <t>593116</t>
  </si>
  <si>
    <t>Budapest</t>
  </si>
  <si>
    <t>3054643</t>
  </si>
  <si>
    <t xml:space="preserve">Чикаго, США</t>
  </si>
  <si>
    <t>4887398</t>
  </si>
  <si>
    <t>Άθήνα</t>
  </si>
  <si>
    <t>264371</t>
  </si>
  <si>
    <t>Баку</t>
  </si>
  <si>
    <t>587084</t>
  </si>
  <si>
    <t>Кiровоград</t>
  </si>
  <si>
    <t>705812</t>
  </si>
  <si>
    <t>Тель-Авив</t>
  </si>
  <si>
    <t>293397</t>
  </si>
  <si>
    <t>Рига</t>
  </si>
  <si>
    <t>456172</t>
  </si>
  <si>
    <t>Львів</t>
  </si>
  <si>
    <t>702550</t>
  </si>
  <si>
    <t>Киев</t>
  </si>
  <si>
    <t>703448</t>
  </si>
  <si>
    <t>Таллинн</t>
  </si>
  <si>
    <t>588409</t>
  </si>
  <si>
    <t>Chicago</t>
  </si>
  <si>
    <t>Baltimore</t>
  </si>
  <si>
    <t>4347778</t>
  </si>
  <si>
    <t>Barcelona</t>
  </si>
  <si>
    <t>3128760</t>
  </si>
  <si>
    <t xml:space="preserve">Basingstoke; L.</t>
  </si>
  <si>
    <t>2656192</t>
  </si>
  <si>
    <r>
      <rPr>
        <sz val="11"/>
        <color theme="1"/>
        <rFont val="Calibri"/>
      </rPr>
      <t xml:space="preserve">Beijing / </t>
    </r>
    <r>
      <rPr>
        <sz val="11"/>
        <color theme="1"/>
        <rFont val="Microsoft YaHei"/>
      </rPr>
      <t>北京</t>
    </r>
  </si>
  <si>
    <t>1816670</t>
  </si>
  <si>
    <t>Beograd</t>
  </si>
  <si>
    <t>792680</t>
  </si>
  <si>
    <t>Białystok</t>
  </si>
  <si>
    <t>776069</t>
  </si>
  <si>
    <t>Bielsko-Biała</t>
  </si>
  <si>
    <t>3103402</t>
  </si>
  <si>
    <t>Bonn</t>
  </si>
  <si>
    <t>2946447</t>
  </si>
  <si>
    <t>Boston</t>
  </si>
  <si>
    <t>4930956</t>
  </si>
  <si>
    <t xml:space="preserve">Bowling Green (Ohio, USA)</t>
  </si>
  <si>
    <t>5147968</t>
  </si>
  <si>
    <t>Bratislava</t>
  </si>
  <si>
    <t>3060972</t>
  </si>
  <si>
    <t>Bromma</t>
  </si>
  <si>
    <t>2719111</t>
  </si>
  <si>
    <t>Bruxelles</t>
  </si>
  <si>
    <t>2800866</t>
  </si>
  <si>
    <t xml:space="preserve">Bukarest, Románia</t>
  </si>
  <si>
    <t>Bydgoszcz</t>
  </si>
  <si>
    <t>3102014</t>
  </si>
  <si>
    <t xml:space="preserve">Bydgoszcz: </t>
  </si>
  <si>
    <t>Darmstadt</t>
  </si>
  <si>
    <t xml:space="preserve">Detroit (Michigan, US)</t>
  </si>
  <si>
    <t>4990729</t>
  </si>
  <si>
    <t xml:space="preserve">Dordrecht; Boston; L.</t>
  </si>
  <si>
    <t>2756669</t>
  </si>
  <si>
    <t xml:space="preserve">Englewood Cliffs, N.J.</t>
  </si>
  <si>
    <t>5097677</t>
  </si>
  <si>
    <t>Evanston</t>
  </si>
  <si>
    <t>4891382</t>
  </si>
  <si>
    <t xml:space="preserve">F.a.M., B., Wien</t>
  </si>
  <si>
    <t xml:space="preserve">Fagnano Alto</t>
  </si>
  <si>
    <t>6536398</t>
  </si>
  <si>
    <t>Gdańsk</t>
  </si>
  <si>
    <t>3099434</t>
  </si>
  <si>
    <t>Gelsenkirchen</t>
  </si>
  <si>
    <t>2921466</t>
  </si>
  <si>
    <t>Gliwice</t>
  </si>
  <si>
    <t>3099230</t>
  </si>
  <si>
    <t xml:space="preserve">Guardbridge (Scotland)</t>
  </si>
  <si>
    <t>8063584</t>
  </si>
  <si>
    <t>Hamburg</t>
  </si>
  <si>
    <t>2911298</t>
  </si>
  <si>
    <t>Hannover</t>
  </si>
  <si>
    <t>2910831</t>
  </si>
  <si>
    <t>Harmondsworth</t>
  </si>
  <si>
    <t>6951076</t>
  </si>
  <si>
    <t xml:space="preserve">Jerusalem / יְרוּשָׁלַיִם</t>
  </si>
  <si>
    <t>281184</t>
  </si>
  <si>
    <t>Jinočany</t>
  </si>
  <si>
    <t>3074143</t>
  </si>
  <si>
    <t>Katowice</t>
  </si>
  <si>
    <t>3096472</t>
  </si>
  <si>
    <t>Kaunas</t>
  </si>
  <si>
    <t>598316</t>
  </si>
  <si>
    <t>Kielce</t>
  </si>
  <si>
    <t>769250</t>
  </si>
  <si>
    <t>Komorów</t>
  </si>
  <si>
    <t>768315</t>
  </si>
  <si>
    <t xml:space="preserve">Kraków; Budapeszt; Syrakuzy</t>
  </si>
  <si>
    <t>Köln</t>
  </si>
  <si>
    <t>2886242</t>
  </si>
  <si>
    <t xml:space="preserve">L.: </t>
  </si>
  <si>
    <t xml:space="preserve">L.; N.Y.</t>
  </si>
  <si>
    <t>Leipzig</t>
  </si>
  <si>
    <t>2879139</t>
  </si>
  <si>
    <t>Lisboa</t>
  </si>
  <si>
    <t>2267057</t>
  </si>
  <si>
    <t>Lwów</t>
  </si>
  <si>
    <t xml:space="preserve">Lódź, Poland</t>
  </si>
  <si>
    <t>3093133</t>
  </si>
  <si>
    <t>Madrid</t>
  </si>
  <si>
    <t>3117735</t>
  </si>
  <si>
    <t>Malmö</t>
  </si>
  <si>
    <t>2692969</t>
  </si>
  <si>
    <t>Marburg</t>
  </si>
  <si>
    <t>2873759</t>
  </si>
  <si>
    <t>Meitungen</t>
  </si>
  <si>
    <t>2872126</t>
  </si>
  <si>
    <t>Melbourne</t>
  </si>
  <si>
    <t xml:space="preserve">Middletown, CT</t>
  </si>
  <si>
    <t>4838633</t>
  </si>
  <si>
    <t xml:space="preserve">Minneapolis; L.</t>
  </si>
  <si>
    <t>5037649</t>
  </si>
  <si>
    <t xml:space="preserve">Montreal &amp; Kingston; London; Ithaca</t>
  </si>
  <si>
    <t>6077243</t>
  </si>
  <si>
    <t xml:space="preserve">München; Wien</t>
  </si>
  <si>
    <t xml:space="preserve">München; Zürich</t>
  </si>
  <si>
    <t>Münster</t>
  </si>
  <si>
    <t>2867543</t>
  </si>
  <si>
    <t xml:space="preserve">N.Y., Oxford</t>
  </si>
  <si>
    <t xml:space="preserve">N.Y.; San Diego; L.</t>
  </si>
  <si>
    <t xml:space="preserve">New Haven and London</t>
  </si>
  <si>
    <t>4839366</t>
  </si>
  <si>
    <t>Norderstedt</t>
  </si>
  <si>
    <t>2862026</t>
  </si>
  <si>
    <t>Northampton</t>
  </si>
  <si>
    <t>4945819</t>
  </si>
  <si>
    <t>Olsztyn</t>
  </si>
  <si>
    <t>763166</t>
  </si>
  <si>
    <t>Opole</t>
  </si>
  <si>
    <t>3090048</t>
  </si>
  <si>
    <t xml:space="preserve">Oradell, N.J.</t>
  </si>
  <si>
    <t>5102208</t>
  </si>
  <si>
    <t>Ostrava</t>
  </si>
  <si>
    <t>3068799</t>
  </si>
  <si>
    <t xml:space="preserve">Ostrów Wielkopolski</t>
  </si>
  <si>
    <t>3089684</t>
  </si>
  <si>
    <t>Oxford</t>
  </si>
  <si>
    <t>2640729</t>
  </si>
  <si>
    <t>Poznań</t>
  </si>
  <si>
    <t>3088171</t>
  </si>
  <si>
    <t>Praga</t>
  </si>
  <si>
    <t>Przeźmierowo</t>
  </si>
  <si>
    <t>3087908</t>
  </si>
  <si>
    <t xml:space="preserve">Rockville, MD</t>
  </si>
  <si>
    <t>4367175</t>
  </si>
  <si>
    <t>Roma</t>
  </si>
  <si>
    <t>3169070</t>
  </si>
  <si>
    <t>Rome</t>
  </si>
  <si>
    <t>Rīga</t>
  </si>
  <si>
    <t>Schwechat</t>
  </si>
  <si>
    <t>2765388</t>
  </si>
  <si>
    <t>Sofia</t>
  </si>
  <si>
    <t>727011</t>
  </si>
  <si>
    <t>Stalinogród</t>
  </si>
  <si>
    <t>Stawiguda</t>
  </si>
  <si>
    <t>758242</t>
  </si>
  <si>
    <t>Stockholm</t>
  </si>
  <si>
    <t>2673730</t>
  </si>
  <si>
    <t>Szczecin</t>
  </si>
  <si>
    <t>3083829</t>
  </si>
  <si>
    <t>Szeged</t>
  </si>
  <si>
    <t>715429</t>
  </si>
  <si>
    <t xml:space="preserve">São Paulo</t>
  </si>
  <si>
    <t>3448439</t>
  </si>
  <si>
    <r>
      <rPr>
        <sz val="11"/>
        <color theme="1"/>
        <rFont val="Calibri"/>
      </rPr>
      <t xml:space="preserve">Taiwan / </t>
    </r>
    <r>
      <rPr>
        <sz val="11"/>
        <color theme="1"/>
        <rFont val="Microsoft YaHei"/>
      </rPr>
      <t>台灣</t>
    </r>
  </si>
  <si>
    <t>1668284</t>
  </si>
  <si>
    <t>Tartu</t>
  </si>
  <si>
    <t>588335</t>
  </si>
  <si>
    <t xml:space="preserve">Terre Haute &amp; Greencastle</t>
  </si>
  <si>
    <t>4265737</t>
  </si>
  <si>
    <t>Torino</t>
  </si>
  <si>
    <t>3165524</t>
  </si>
  <si>
    <t>Toruń</t>
  </si>
  <si>
    <t>3083271</t>
  </si>
  <si>
    <t>Troyes</t>
  </si>
  <si>
    <t>2971549</t>
  </si>
  <si>
    <t>Tübingen</t>
  </si>
  <si>
    <t>2820860</t>
  </si>
  <si>
    <t>USA</t>
  </si>
  <si>
    <t>6252001</t>
  </si>
  <si>
    <t xml:space="preserve">Vitoria (España)</t>
  </si>
  <si>
    <t>3104499</t>
  </si>
  <si>
    <t xml:space="preserve">Warszawa, Poland</t>
  </si>
  <si>
    <t>Washington</t>
  </si>
  <si>
    <t>4140963</t>
  </si>
  <si>
    <t>Weinheim</t>
  </si>
  <si>
    <t>2812174</t>
  </si>
  <si>
    <t>Wien</t>
  </si>
  <si>
    <t>2761369</t>
  </si>
  <si>
    <t>Wiesbaden</t>
  </si>
  <si>
    <t>2809346</t>
  </si>
  <si>
    <t>Wołowiec</t>
  </si>
  <si>
    <t>754789</t>
  </si>
  <si>
    <t>Wr,</t>
  </si>
  <si>
    <t>3081368</t>
  </si>
  <si>
    <t>Wr.</t>
  </si>
  <si>
    <t xml:space="preserve">Wrocław, Dresden</t>
  </si>
  <si>
    <t>Wuppertal</t>
  </si>
  <si>
    <t>2805753</t>
  </si>
  <si>
    <t>Zagreb</t>
  </si>
  <si>
    <t>3186886</t>
  </si>
  <si>
    <t>Zakrzewo</t>
  </si>
  <si>
    <t>3080836</t>
  </si>
  <si>
    <r>
      <rPr>
        <sz val="11"/>
        <color theme="1"/>
        <rFont val="Calibri"/>
      </rPr>
      <t xml:space="preserve">Zhengzhou / </t>
    </r>
    <r>
      <rPr>
        <sz val="11"/>
        <color theme="1"/>
        <rFont val="Microsoft YaHei"/>
      </rPr>
      <t>郑州</t>
    </r>
  </si>
  <si>
    <t>1784658</t>
  </si>
  <si>
    <t>Zürich</t>
  </si>
  <si>
    <t>2657896</t>
  </si>
  <si>
    <t>[б.м.]</t>
  </si>
  <si>
    <t>1486209</t>
  </si>
  <si>
    <t xml:space="preserve">Český Těšín</t>
  </si>
  <si>
    <t>3077882</t>
  </si>
  <si>
    <t>Łódź</t>
  </si>
  <si>
    <t xml:space="preserve">Łódź: </t>
  </si>
  <si>
    <t>Аркаим</t>
  </si>
  <si>
    <t>12514108</t>
  </si>
  <si>
    <t>Београд</t>
  </si>
  <si>
    <t>Волгоград</t>
  </si>
  <si>
    <t>472757</t>
  </si>
  <si>
    <t>Донецк</t>
  </si>
  <si>
    <t>709717</t>
  </si>
  <si>
    <t xml:space="preserve">Донецк, Киев</t>
  </si>
  <si>
    <t>Екатеринбург</t>
  </si>
  <si>
    <t>Екатеринбург–М.</t>
  </si>
  <si>
    <t>Загорск</t>
  </si>
  <si>
    <t>465634</t>
  </si>
  <si>
    <t>Иерусалим</t>
  </si>
  <si>
    <t>Киïв</t>
  </si>
  <si>
    <t>Ленинград</t>
  </si>
  <si>
    <t>498817</t>
  </si>
  <si>
    <t>Липецк</t>
  </si>
  <si>
    <t>535121</t>
  </si>
  <si>
    <t>Львiв</t>
  </si>
  <si>
    <t xml:space="preserve">М., Санкт-Петербург</t>
  </si>
  <si>
    <t xml:space="preserve">М.: </t>
  </si>
  <si>
    <t>М.–Минск</t>
  </si>
  <si>
    <t>Мiнск</t>
  </si>
  <si>
    <t>Менск</t>
  </si>
  <si>
    <t>Новокузнецк</t>
  </si>
  <si>
    <t>1496990</t>
  </si>
  <si>
    <t>Острог</t>
  </si>
  <si>
    <t>698232</t>
  </si>
  <si>
    <t>Пловдив</t>
  </si>
  <si>
    <t>728193</t>
  </si>
  <si>
    <t>Санкт-Петербург</t>
  </si>
  <si>
    <t>София</t>
  </si>
  <si>
    <t>Тернопiль</t>
  </si>
  <si>
    <t>691650</t>
  </si>
  <si>
    <t>Улаанбаатар</t>
  </si>
  <si>
    <t>2028462</t>
  </si>
  <si>
    <t>Gdynia</t>
  </si>
  <si>
    <t>3099424</t>
  </si>
  <si>
    <t>Warszawa</t>
  </si>
  <si>
    <t>Kijów</t>
  </si>
  <si>
    <t>London</t>
  </si>
  <si>
    <t>Rzeszów</t>
  </si>
  <si>
    <t>759734</t>
  </si>
  <si>
    <t xml:space="preserve">Zielona Góra</t>
  </si>
  <si>
    <t>3080165</t>
  </si>
  <si>
    <t>Koszalin</t>
  </si>
  <si>
    <t>3095049</t>
  </si>
  <si>
    <t>Toronto</t>
  </si>
  <si>
    <t>6167865</t>
  </si>
  <si>
    <t>Słupsk</t>
  </si>
  <si>
    <t>3085450</t>
  </si>
  <si>
    <t>Grodno</t>
  </si>
  <si>
    <t>627904</t>
  </si>
  <si>
    <t xml:space="preserve">Warszawa, Kraków</t>
  </si>
  <si>
    <t>Głogów</t>
  </si>
  <si>
    <t>3099213</t>
  </si>
  <si>
    <t xml:space="preserve">Łuck, Ukraina</t>
  </si>
  <si>
    <t>702569</t>
  </si>
  <si>
    <t xml:space="preserve">Krosno, Przemyśl, Rzeszów, Tarnobrzeg</t>
  </si>
  <si>
    <t>767470</t>
  </si>
  <si>
    <t xml:space="preserve">New York</t>
  </si>
  <si>
    <t>Tarnów</t>
  </si>
  <si>
    <t>757026</t>
  </si>
  <si>
    <t>Wrocław</t>
  </si>
  <si>
    <t>Gdańsk-Sopot-Gdynia</t>
  </si>
  <si>
    <t xml:space="preserve">Nicosia, Cyprus</t>
  </si>
  <si>
    <t>146268</t>
  </si>
  <si>
    <t>Bytom</t>
  </si>
  <si>
    <t>3101950</t>
  </si>
  <si>
    <t>Чикаго</t>
  </si>
  <si>
    <t xml:space="preserve">San Diego; N.Y.; L.</t>
  </si>
  <si>
    <t>5391811</t>
  </si>
  <si>
    <t xml:space="preserve">N.Y.; L.</t>
  </si>
  <si>
    <t xml:space="preserve">Schweiz, Kanton Aargau</t>
  </si>
  <si>
    <t>Dortmund</t>
  </si>
  <si>
    <t>2935517</t>
  </si>
  <si>
    <t xml:space="preserve">St. Pölten</t>
  </si>
  <si>
    <t>2766429</t>
  </si>
  <si>
    <t>Erfurt</t>
  </si>
  <si>
    <t>2929670</t>
  </si>
  <si>
    <t>Rostock</t>
  </si>
  <si>
    <t>2844588</t>
  </si>
  <si>
    <t>Halle</t>
  </si>
  <si>
    <t>2911522</t>
  </si>
  <si>
    <t>Düsseldorf</t>
  </si>
  <si>
    <t>2934246</t>
  </si>
  <si>
    <t xml:space="preserve">Waukesha, WI</t>
  </si>
  <si>
    <t>5278052</t>
  </si>
  <si>
    <t>Mainz</t>
  </si>
  <si>
    <t>2874225</t>
  </si>
  <si>
    <t>Burnaby</t>
  </si>
  <si>
    <t>5911606</t>
  </si>
  <si>
    <t xml:space="preserve">Düren, Nordrhein-Westfalen</t>
  </si>
  <si>
    <t>2934486</t>
  </si>
  <si>
    <t xml:space="preserve">Bibliothek der Friedrich-Ebert-Stiftung) (Bonn</t>
  </si>
  <si>
    <t xml:space="preserve">Tartu, Estonia</t>
  </si>
  <si>
    <t xml:space="preserve">Lisboa, Portugal</t>
  </si>
  <si>
    <t xml:space="preserve">Kronstadt, Rumänien</t>
  </si>
  <si>
    <t>683844</t>
  </si>
  <si>
    <t>Cottbus</t>
  </si>
  <si>
    <t>2939811</t>
  </si>
  <si>
    <t xml:space="preserve">Oradell, N.J., USA</t>
  </si>
  <si>
    <t xml:space="preserve">Peoria, Illinois</t>
  </si>
  <si>
    <t>4905687</t>
  </si>
  <si>
    <t>Warschau</t>
  </si>
  <si>
    <t>Moscow</t>
  </si>
  <si>
    <t>Potsdam</t>
  </si>
  <si>
    <t>2852458</t>
  </si>
  <si>
    <t xml:space="preserve">Frankfurt am Oder</t>
  </si>
  <si>
    <t>2925535</t>
  </si>
  <si>
    <t>Nürnberg</t>
  </si>
  <si>
    <t>2861650</t>
  </si>
  <si>
    <t xml:space="preserve">Clayton, Victoria, Australia</t>
  </si>
  <si>
    <t>2171395</t>
  </si>
  <si>
    <t xml:space="preserve">Hamilton, New Zealand</t>
  </si>
  <si>
    <t>2190324</t>
  </si>
  <si>
    <t xml:space="preserve">W., Wydanie polskie</t>
  </si>
  <si>
    <t xml:space="preserve">Wien, Österreich</t>
  </si>
  <si>
    <t xml:space="preserve">Falls Church, Va</t>
  </si>
  <si>
    <t>4758390</t>
  </si>
  <si>
    <t>Regensburg</t>
  </si>
  <si>
    <t>2849483</t>
  </si>
  <si>
    <t>Rastatt</t>
  </si>
  <si>
    <t>2850257</t>
  </si>
  <si>
    <t>Portland</t>
  </si>
  <si>
    <t>5746545</t>
  </si>
  <si>
    <t>Meitingen</t>
  </si>
  <si>
    <t xml:space="preserve">Greencastle, IN</t>
  </si>
  <si>
    <t>4258273</t>
  </si>
  <si>
    <t>Kingston</t>
  </si>
  <si>
    <t>8349299</t>
  </si>
  <si>
    <t xml:space="preserve">Toronto, Canada</t>
  </si>
  <si>
    <t>Tehran</t>
  </si>
  <si>
    <t>112931</t>
  </si>
  <si>
    <t>Moskau</t>
  </si>
  <si>
    <t>Cracow</t>
  </si>
  <si>
    <t>Hanover</t>
  </si>
  <si>
    <t xml:space="preserve">Columbia, Missouri</t>
  </si>
  <si>
    <t>4381982</t>
  </si>
  <si>
    <t xml:space="preserve">Champaign, IL</t>
  </si>
  <si>
    <t>4887158</t>
  </si>
  <si>
    <t xml:space="preserve">Salt Lake City, Utah</t>
  </si>
  <si>
    <t>5780993</t>
  </si>
  <si>
    <t xml:space="preserve">New Haven, Connecticut</t>
  </si>
  <si>
    <t>Kyiv</t>
  </si>
  <si>
    <t>Bremen</t>
  </si>
  <si>
    <t>2944388</t>
  </si>
  <si>
    <t>Hagen</t>
  </si>
  <si>
    <t>2912621</t>
  </si>
  <si>
    <t xml:space="preserve">San Francisco</t>
  </si>
  <si>
    <t>5391959</t>
  </si>
  <si>
    <t>Freiburg</t>
  </si>
  <si>
    <t>2925177</t>
  </si>
  <si>
    <t>Chemnitz</t>
  </si>
  <si>
    <t>2940132</t>
  </si>
  <si>
    <t>Ростов-на-Дону</t>
  </si>
  <si>
    <t>501175</t>
  </si>
  <si>
    <t>Красноярск</t>
  </si>
  <si>
    <t>1502026</t>
  </si>
  <si>
    <t>Душанбе</t>
  </si>
  <si>
    <t>1221874</t>
  </si>
  <si>
    <t>Казань</t>
  </si>
  <si>
    <t>551487</t>
  </si>
  <si>
    <t>Ашхабад</t>
  </si>
  <si>
    <t>162183</t>
  </si>
  <si>
    <t xml:space="preserve">Бруклин, США</t>
  </si>
  <si>
    <t>5110302</t>
  </si>
  <si>
    <t>Вильнюс</t>
  </si>
  <si>
    <t>Могилёв</t>
  </si>
  <si>
    <t>625665</t>
  </si>
  <si>
    <t>Таллин</t>
  </si>
  <si>
    <t>Саранск</t>
  </si>
  <si>
    <t>498698</t>
  </si>
  <si>
    <t>Воронеж</t>
  </si>
  <si>
    <t>472045</t>
  </si>
  <si>
    <t>Пестово</t>
  </si>
  <si>
    <t>1495186</t>
  </si>
  <si>
    <t>Москва</t>
  </si>
  <si>
    <t>Варшава</t>
  </si>
  <si>
    <t>Тарту</t>
  </si>
  <si>
    <t>Одесса</t>
  </si>
  <si>
    <t>698740</t>
  </si>
  <si>
    <t>Саратов</t>
  </si>
  <si>
    <t>498677</t>
  </si>
  <si>
    <t>Мюнхен</t>
  </si>
  <si>
    <t>Свердловск</t>
  </si>
  <si>
    <t>Нью-Йорк</t>
  </si>
  <si>
    <t>Valka</t>
  </si>
  <si>
    <t>454572</t>
  </si>
  <si>
    <t xml:space="preserve">Bibliothek der Friedrich-Ebert-Stiftung</t>
  </si>
  <si>
    <t>Helsinki</t>
  </si>
  <si>
    <t>658225</t>
  </si>
  <si>
    <t>Tallinn</t>
  </si>
  <si>
    <t>Brno</t>
  </si>
  <si>
    <t>3078610</t>
  </si>
  <si>
    <t>Bologna</t>
  </si>
  <si>
    <t>3181928</t>
  </si>
  <si>
    <t xml:space="preserve">Kolozsvár, Románia</t>
  </si>
  <si>
    <t>681290</t>
  </si>
  <si>
    <t>Habana</t>
  </si>
  <si>
    <t>3553478</t>
  </si>
  <si>
    <t>Varsovie</t>
  </si>
  <si>
    <t>Olomouc</t>
  </si>
  <si>
    <t>3069011</t>
  </si>
  <si>
    <t>Kraków</t>
  </si>
  <si>
    <t>Timișoara</t>
  </si>
  <si>
    <t>665087</t>
  </si>
  <si>
    <t xml:space="preserve">Medellín, Colombia</t>
  </si>
  <si>
    <t>3674962</t>
  </si>
  <si>
    <t>東京</t>
  </si>
  <si>
    <t xml:space="preserve">Banská Bystrica</t>
  </si>
  <si>
    <t>3061186</t>
  </si>
  <si>
    <t>México</t>
  </si>
  <si>
    <t>3530597</t>
  </si>
  <si>
    <t>Луцьк</t>
  </si>
  <si>
    <t>Чачак</t>
  </si>
  <si>
    <t>792078</t>
  </si>
  <si>
    <t>Ниш</t>
  </si>
  <si>
    <t>787657</t>
  </si>
  <si>
    <t>Київ</t>
  </si>
  <si>
    <t>Фрунзе</t>
  </si>
  <si>
    <t>1528675</t>
  </si>
  <si>
    <t>Днiпропетровськ</t>
  </si>
  <si>
    <t>709930</t>
  </si>
  <si>
    <t>Панчево</t>
  </si>
  <si>
    <t>787237</t>
  </si>
  <si>
    <t>Титоград</t>
  </si>
  <si>
    <t>3193044</t>
  </si>
  <si>
    <t xml:space="preserve">Нови Сад</t>
  </si>
  <si>
    <t>Житомир</t>
  </si>
  <si>
    <t>686967</t>
  </si>
  <si>
    <t>Хмельницький</t>
  </si>
  <si>
    <t>706369</t>
  </si>
  <si>
    <t>Jerusalem</t>
  </si>
  <si>
    <t>ვარშავა</t>
  </si>
  <si>
    <t>ბათუმი</t>
  </si>
  <si>
    <t>615532</t>
  </si>
  <si>
    <t>Tokyo</t>
  </si>
  <si>
    <t>Beijing</t>
  </si>
  <si>
    <t>Zhengzhou</t>
  </si>
  <si>
    <t>Toulouse</t>
  </si>
  <si>
    <t>2972315</t>
  </si>
  <si>
    <t>Florianópolis</t>
  </si>
  <si>
    <t>6323121</t>
  </si>
  <si>
    <t xml:space="preserve">Târgu Mureş</t>
  </si>
  <si>
    <t>665004</t>
  </si>
  <si>
    <t>gn_city</t>
  </si>
  <si>
    <t>gn_country</t>
  </si>
  <si>
    <t>gn_city_pl</t>
  </si>
  <si>
    <t>wdid</t>
  </si>
  <si>
    <t>wd_city</t>
  </si>
  <si>
    <t>wd_country</t>
  </si>
  <si>
    <t>wd_city_pl</t>
  </si>
  <si>
    <t>nr</t>
  </si>
  <si>
    <t>Aargau</t>
  </si>
  <si>
    <t>Switzerland</t>
  </si>
  <si>
    <t>Argowia</t>
  </si>
  <si>
    <t>Q11972</t>
  </si>
  <si>
    <t xml:space="preserve">Canton of Aargau</t>
  </si>
  <si>
    <t>Abakan</t>
  </si>
  <si>
    <t>Russia</t>
  </si>
  <si>
    <t>Q875</t>
  </si>
  <si>
    <t xml:space="preserve">The Netherlands</t>
  </si>
  <si>
    <t>Q727</t>
  </si>
  <si>
    <t>Netherlands</t>
  </si>
  <si>
    <t>Arkaim</t>
  </si>
  <si>
    <t>Q672602</t>
  </si>
  <si>
    <t>Ashgabat</t>
  </si>
  <si>
    <t>Turkmenistan</t>
  </si>
  <si>
    <t>Aszchabad</t>
  </si>
  <si>
    <t>Q23438</t>
  </si>
  <si>
    <t>Athens</t>
  </si>
  <si>
    <t>Greece</t>
  </si>
  <si>
    <t>Ateny</t>
  </si>
  <si>
    <t>Q1524</t>
  </si>
  <si>
    <t>Baku</t>
  </si>
  <si>
    <t>Azerbaijan</t>
  </si>
  <si>
    <t>Q9248</t>
  </si>
  <si>
    <t xml:space="preserve">United States</t>
  </si>
  <si>
    <t>Q5092</t>
  </si>
  <si>
    <t>Slovakia</t>
  </si>
  <si>
    <t xml:space="preserve">Bańska Bystrzyca</t>
  </si>
  <si>
    <t>Q144983</t>
  </si>
  <si>
    <t>Spain</t>
  </si>
  <si>
    <t>Q1492</t>
  </si>
  <si>
    <t>Basingstoke</t>
  </si>
  <si>
    <t xml:space="preserve">United Kingdom</t>
  </si>
  <si>
    <t>Q810196</t>
  </si>
  <si>
    <t>Batumi</t>
  </si>
  <si>
    <t>Georgia</t>
  </si>
  <si>
    <t>Q25475</t>
  </si>
  <si>
    <t>China</t>
  </si>
  <si>
    <t>Pekin</t>
  </si>
  <si>
    <t>Q956</t>
  </si>
  <si>
    <t xml:space="preserve">People's Republic of China</t>
  </si>
  <si>
    <t>Belgrade</t>
  </si>
  <si>
    <t>Serbia</t>
  </si>
  <si>
    <t>Belgrad</t>
  </si>
  <si>
    <t>Q3711</t>
  </si>
  <si>
    <t>Germany</t>
  </si>
  <si>
    <t>Q64</t>
  </si>
  <si>
    <t>Bialystok</t>
  </si>
  <si>
    <t>Poland</t>
  </si>
  <si>
    <t>Q761</t>
  </si>
  <si>
    <t>Bielsko-Biala</t>
  </si>
  <si>
    <t>Q106583</t>
  </si>
  <si>
    <t>Bishkek</t>
  </si>
  <si>
    <t>Kyrgyzstan</t>
  </si>
  <si>
    <t>Biszkek</t>
  </si>
  <si>
    <t>Q9361</t>
  </si>
  <si>
    <t>Italy</t>
  </si>
  <si>
    <t>Bolonia</t>
  </si>
  <si>
    <t>Q1891</t>
  </si>
  <si>
    <t>Q586</t>
  </si>
  <si>
    <t>Q100</t>
  </si>
  <si>
    <t xml:space="preserve">Bowling Green</t>
  </si>
  <si>
    <t>Q895459</t>
  </si>
  <si>
    <t>Brasov</t>
  </si>
  <si>
    <t>Romania</t>
  </si>
  <si>
    <t>Braszów</t>
  </si>
  <si>
    <t>Q16898139</t>
  </si>
  <si>
    <t>Brașov</t>
  </si>
  <si>
    <t>Bratysława</t>
  </si>
  <si>
    <t>Q1780</t>
  </si>
  <si>
    <t>Brema</t>
  </si>
  <si>
    <t>Q24879</t>
  </si>
  <si>
    <t>Czechia</t>
  </si>
  <si>
    <t>Q14960</t>
  </si>
  <si>
    <t xml:space="preserve">Czech Republic</t>
  </si>
  <si>
    <t>Sweden</t>
  </si>
  <si>
    <t>Q926728</t>
  </si>
  <si>
    <t>Brooklyn</t>
  </si>
  <si>
    <t>Q18419</t>
  </si>
  <si>
    <t>Brussels</t>
  </si>
  <si>
    <t>Belgium</t>
  </si>
  <si>
    <t>Bruksela</t>
  </si>
  <si>
    <t>Q239</t>
  </si>
  <si>
    <t xml:space="preserve">City of Brussels</t>
  </si>
  <si>
    <t>Bucharest</t>
  </si>
  <si>
    <t>Bukareszt</t>
  </si>
  <si>
    <t>Q19660</t>
  </si>
  <si>
    <t>Hungary</t>
  </si>
  <si>
    <t>Budapeszt</t>
  </si>
  <si>
    <t>Q1781</t>
  </si>
  <si>
    <t>Argentina</t>
  </si>
  <si>
    <t>Q1486</t>
  </si>
  <si>
    <t>Canada</t>
  </si>
  <si>
    <t>Q244025</t>
  </si>
  <si>
    <t>Q41252</t>
  </si>
  <si>
    <t>Q102350</t>
  </si>
  <si>
    <t>Čačak</t>
  </si>
  <si>
    <t>Q208038</t>
  </si>
  <si>
    <t>Cambridge</t>
  </si>
  <si>
    <t>Q350</t>
  </si>
  <si>
    <t xml:space="preserve">Czeski Cieszyn</t>
  </si>
  <si>
    <t>Q278877</t>
  </si>
  <si>
    <t>Champaign</t>
  </si>
  <si>
    <t>Q577964</t>
  </si>
  <si>
    <t>Q2795</t>
  </si>
  <si>
    <t>Q1297</t>
  </si>
  <si>
    <t xml:space="preserve">Clayton South</t>
  </si>
  <si>
    <t>Australia</t>
  </si>
  <si>
    <t>Q5130327</t>
  </si>
  <si>
    <t>Cluj-Napoca</t>
  </si>
  <si>
    <t>Kluż-Napoka</t>
  </si>
  <si>
    <t>Q100188</t>
  </si>
  <si>
    <t>Cologne</t>
  </si>
  <si>
    <t>Kolonia</t>
  </si>
  <si>
    <t>Q365</t>
  </si>
  <si>
    <t>Columbia</t>
  </si>
  <si>
    <t>Q59670</t>
  </si>
  <si>
    <t>Chociebuż</t>
  </si>
  <si>
    <t>Q3214</t>
  </si>
  <si>
    <t>Q2973</t>
  </si>
  <si>
    <t>Debreczyn</t>
  </si>
  <si>
    <t>Q79880</t>
  </si>
  <si>
    <t>Detroit</t>
  </si>
  <si>
    <t>Q12439</t>
  </si>
  <si>
    <t>Dnipro</t>
  </si>
  <si>
    <t>Ukraine</t>
  </si>
  <si>
    <t>Dniepr</t>
  </si>
  <si>
    <t>Q48256</t>
  </si>
  <si>
    <t>Donetsk</t>
  </si>
  <si>
    <t>Donieck</t>
  </si>
  <si>
    <t>Q43070</t>
  </si>
  <si>
    <t>Dordrecht</t>
  </si>
  <si>
    <t>Q33433503</t>
  </si>
  <si>
    <t>Q1295</t>
  </si>
  <si>
    <t>Drezno</t>
  </si>
  <si>
    <t>Q1731</t>
  </si>
  <si>
    <t>Düren</t>
  </si>
  <si>
    <t>Q1884</t>
  </si>
  <si>
    <t>Dushanbe</t>
  </si>
  <si>
    <t>Tajikistan</t>
  </si>
  <si>
    <t>Duszanbe</t>
  </si>
  <si>
    <t>Q9365</t>
  </si>
  <si>
    <t>Q1718</t>
  </si>
  <si>
    <t xml:space="preserve">Englewood Cliffs</t>
  </si>
  <si>
    <t>Q281839</t>
  </si>
  <si>
    <t>Q1729</t>
  </si>
  <si>
    <t>Q2066</t>
  </si>
  <si>
    <t>Q462799</t>
  </si>
  <si>
    <t>Q50091</t>
  </si>
  <si>
    <t xml:space="preserve">Falls Church</t>
  </si>
  <si>
    <t>Q408744</t>
  </si>
  <si>
    <t>Brazil</t>
  </si>
  <si>
    <t>Q132997</t>
  </si>
  <si>
    <t>Frankfurt</t>
  </si>
  <si>
    <t xml:space="preserve">Frankfurt nad Odrą</t>
  </si>
  <si>
    <t>Q4024</t>
  </si>
  <si>
    <t xml:space="preserve">Frankfurt (Oder)</t>
  </si>
  <si>
    <t xml:space="preserve">Frankfurt am Main</t>
  </si>
  <si>
    <t xml:space="preserve">Frankfurt nad Menem</t>
  </si>
  <si>
    <t>Q1794</t>
  </si>
  <si>
    <t xml:space="preserve">Freiburg im Breisgau</t>
  </si>
  <si>
    <t xml:space="preserve">Fryburg Bryzgowijski</t>
  </si>
  <si>
    <t>Q2833</t>
  </si>
  <si>
    <t>Gdansk</t>
  </si>
  <si>
    <t>Q1792</t>
  </si>
  <si>
    <t>Q385</t>
  </si>
  <si>
    <t>Q2765</t>
  </si>
  <si>
    <t>Q105084</t>
  </si>
  <si>
    <t>Q66013</t>
  </si>
  <si>
    <t>Greencastle</t>
  </si>
  <si>
    <t>Q1007911</t>
  </si>
  <si>
    <t>Guardbridge</t>
  </si>
  <si>
    <t>Q1301785</t>
  </si>
  <si>
    <t>Q2871</t>
  </si>
  <si>
    <t>Q2814</t>
  </si>
  <si>
    <t xml:space="preserve">Halle (Saale)</t>
  </si>
  <si>
    <t>Q1055</t>
  </si>
  <si>
    <t>Hamilton</t>
  </si>
  <si>
    <t xml:space="preserve">New Zealand</t>
  </si>
  <si>
    <t>Q200028</t>
  </si>
  <si>
    <t>Hanower</t>
  </si>
  <si>
    <t>Q1715</t>
  </si>
  <si>
    <t>Q2230788</t>
  </si>
  <si>
    <t>Havana</t>
  </si>
  <si>
    <t>Cuba</t>
  </si>
  <si>
    <t>Hawana</t>
  </si>
  <si>
    <t>Q1563</t>
  </si>
  <si>
    <t>Finland</t>
  </si>
  <si>
    <t>Q1757</t>
  </si>
  <si>
    <t>Hrodna</t>
  </si>
  <si>
    <t>Belarus</t>
  </si>
  <si>
    <t>Q181376</t>
  </si>
  <si>
    <t>Istanbul</t>
  </si>
  <si>
    <t>Türkiye</t>
  </si>
  <si>
    <t>Stambuł</t>
  </si>
  <si>
    <t>Q406</t>
  </si>
  <si>
    <t>Turkey</t>
  </si>
  <si>
    <t>Ithaca</t>
  </si>
  <si>
    <t>Q217346</t>
  </si>
  <si>
    <t>Israel</t>
  </si>
  <si>
    <t>Jerozolima</t>
  </si>
  <si>
    <t>Q1218</t>
  </si>
  <si>
    <t>Q2053522</t>
  </si>
  <si>
    <t>Q588</t>
  </si>
  <si>
    <t>Lithuania</t>
  </si>
  <si>
    <t>Kowno</t>
  </si>
  <si>
    <t>Q4115712</t>
  </si>
  <si>
    <t>Kazan’</t>
  </si>
  <si>
    <t>Kazań</t>
  </si>
  <si>
    <t>Q900</t>
  </si>
  <si>
    <t>Kazan</t>
  </si>
  <si>
    <t>Khmelnytskyi</t>
  </si>
  <si>
    <t>Płoskurów</t>
  </si>
  <si>
    <t>Q156717</t>
  </si>
  <si>
    <t>Chmielnicki</t>
  </si>
  <si>
    <t>Q102317</t>
  </si>
  <si>
    <t>Q202973</t>
  </si>
  <si>
    <t>Q3197126</t>
  </si>
  <si>
    <t>Q4294586</t>
  </si>
  <si>
    <t>Q62868</t>
  </si>
  <si>
    <t>Krakow</t>
  </si>
  <si>
    <t>Q31487</t>
  </si>
  <si>
    <t>Krasnoyarsk</t>
  </si>
  <si>
    <t>Q919</t>
  </si>
  <si>
    <t>Krasnojarsk</t>
  </si>
  <si>
    <t>Kropyvnytskyi</t>
  </si>
  <si>
    <t>Zinowjewsk</t>
  </si>
  <si>
    <t>Q158292</t>
  </si>
  <si>
    <t>Kropywnycki</t>
  </si>
  <si>
    <t>Krosno</t>
  </si>
  <si>
    <t>Q826068</t>
  </si>
  <si>
    <t>Q1899</t>
  </si>
  <si>
    <t>Lipsk</t>
  </si>
  <si>
    <t>Q2079</t>
  </si>
  <si>
    <t>Lipetsk</t>
  </si>
  <si>
    <t>Lipieck</t>
  </si>
  <si>
    <t>Q3490</t>
  </si>
  <si>
    <t>Lisbon</t>
  </si>
  <si>
    <t>Portugal</t>
  </si>
  <si>
    <t>Lizbona</t>
  </si>
  <si>
    <t>Q597</t>
  </si>
  <si>
    <t>Q24826</t>
  </si>
  <si>
    <t>Slovenia</t>
  </si>
  <si>
    <t>Lublana</t>
  </si>
  <si>
    <t>Q437</t>
  </si>
  <si>
    <t>Lodz</t>
  </si>
  <si>
    <t>Q580</t>
  </si>
  <si>
    <t>Londyn</t>
  </si>
  <si>
    <t>Q84</t>
  </si>
  <si>
    <t>Q37333</t>
  </si>
  <si>
    <t>Lutsk</t>
  </si>
  <si>
    <t>Łuck</t>
  </si>
  <si>
    <t>Q7550</t>
  </si>
  <si>
    <t>Lviv</t>
  </si>
  <si>
    <t>Q36036</t>
  </si>
  <si>
    <t>Madryt</t>
  </si>
  <si>
    <t>Q2807</t>
  </si>
  <si>
    <t>Moguncja</t>
  </si>
  <si>
    <t>Q1720</t>
  </si>
  <si>
    <t>Malmo</t>
  </si>
  <si>
    <t>Q2211</t>
  </si>
  <si>
    <t>Q3869</t>
  </si>
  <si>
    <t>Medellín</t>
  </si>
  <si>
    <t>Colombia</t>
  </si>
  <si>
    <t>Q48278</t>
  </si>
  <si>
    <t>Q32129410</t>
  </si>
  <si>
    <t>Q3141</t>
  </si>
  <si>
    <t>Q10328498</t>
  </si>
  <si>
    <t xml:space="preserve">Mexico City</t>
  </si>
  <si>
    <t>Mexico</t>
  </si>
  <si>
    <t>Meksyk</t>
  </si>
  <si>
    <t>Q1489</t>
  </si>
  <si>
    <t>Middletown</t>
  </si>
  <si>
    <t>Q49192</t>
  </si>
  <si>
    <t>Milan</t>
  </si>
  <si>
    <t>Mediolan</t>
  </si>
  <si>
    <t>Q490</t>
  </si>
  <si>
    <t>Minneapolis</t>
  </si>
  <si>
    <t>Q36091</t>
  </si>
  <si>
    <t>Minsk</t>
  </si>
  <si>
    <t>Mińsk</t>
  </si>
  <si>
    <t>Q2280</t>
  </si>
  <si>
    <t>Mogilev</t>
  </si>
  <si>
    <t>Mohylew</t>
  </si>
  <si>
    <t>Q154835</t>
  </si>
  <si>
    <t>Montreal</t>
  </si>
  <si>
    <t>Q340</t>
  </si>
  <si>
    <t>Moskwa</t>
  </si>
  <si>
    <t>Q649</t>
  </si>
  <si>
    <t>Munich</t>
  </si>
  <si>
    <t>Monachium</t>
  </si>
  <si>
    <t>Q1726</t>
  </si>
  <si>
    <t>Q2742</t>
  </si>
  <si>
    <t xml:space="preserve">New Haven</t>
  </si>
  <si>
    <t>Q49145</t>
  </si>
  <si>
    <t xml:space="preserve">Nowy Jork</t>
  </si>
  <si>
    <t>Q60</t>
  </si>
  <si>
    <t xml:space="preserve">New York City</t>
  </si>
  <si>
    <t>Nicosia</t>
  </si>
  <si>
    <t>Cyprus</t>
  </si>
  <si>
    <t>Nikozja</t>
  </si>
  <si>
    <t>Q3856</t>
  </si>
  <si>
    <t>Niš</t>
  </si>
  <si>
    <t>Nisz</t>
  </si>
  <si>
    <t>Q129259</t>
  </si>
  <si>
    <t>Q3928</t>
  </si>
  <si>
    <t>Q49186</t>
  </si>
  <si>
    <t xml:space="preserve">Nowy Sad</t>
  </si>
  <si>
    <t>Q55630</t>
  </si>
  <si>
    <t>Novokuznetsk</t>
  </si>
  <si>
    <t>Nowokuźnieck</t>
  </si>
  <si>
    <t>Q93910</t>
  </si>
  <si>
    <t>Nuremberg</t>
  </si>
  <si>
    <t>Norymberga</t>
  </si>
  <si>
    <t>Q2090</t>
  </si>
  <si>
    <t>Odesa</t>
  </si>
  <si>
    <t>Odessa</t>
  </si>
  <si>
    <t>Q1874</t>
  </si>
  <si>
    <t>Ołomuniec</t>
  </si>
  <si>
    <t>Q81137</t>
  </si>
  <si>
    <t>Q82765</t>
  </si>
  <si>
    <t>Q92212</t>
  </si>
  <si>
    <t>Oradell</t>
  </si>
  <si>
    <t>Q1086416</t>
  </si>
  <si>
    <t>Ostrawa</t>
  </si>
  <si>
    <t>Q8385</t>
  </si>
  <si>
    <t>Ostroh</t>
  </si>
  <si>
    <t>Ostróg</t>
  </si>
  <si>
    <t>Q140671</t>
  </si>
  <si>
    <t>Q52895</t>
  </si>
  <si>
    <t>Oksford</t>
  </si>
  <si>
    <t>Q34217</t>
  </si>
  <si>
    <t>Pančevo</t>
  </si>
  <si>
    <t>Q205432</t>
  </si>
  <si>
    <t>France</t>
  </si>
  <si>
    <t>Q90</t>
  </si>
  <si>
    <t>Peoria</t>
  </si>
  <si>
    <t>Q233129</t>
  </si>
  <si>
    <t>Perm</t>
  </si>
  <si>
    <t>Q915</t>
  </si>
  <si>
    <t>Pestovo</t>
  </si>
  <si>
    <t>Q178238</t>
  </si>
  <si>
    <t>Piestowo</t>
  </si>
  <si>
    <t>Plovdiv</t>
  </si>
  <si>
    <t>Bulgaria</t>
  </si>
  <si>
    <t>Płowdiw</t>
  </si>
  <si>
    <t>Q459</t>
  </si>
  <si>
    <t>Podgorica</t>
  </si>
  <si>
    <t>Montenegro</t>
  </si>
  <si>
    <t>Q23564</t>
  </si>
  <si>
    <t>Q6106</t>
  </si>
  <si>
    <t>Poczdam</t>
  </si>
  <si>
    <t>Q1711</t>
  </si>
  <si>
    <t>Poznan</t>
  </si>
  <si>
    <t>Q268</t>
  </si>
  <si>
    <t>Prague</t>
  </si>
  <si>
    <t>Q1085</t>
  </si>
  <si>
    <t>Przemyśl</t>
  </si>
  <si>
    <t>Q208473</t>
  </si>
  <si>
    <t>Q2389410</t>
  </si>
  <si>
    <t>Q104740</t>
  </si>
  <si>
    <t>Q6874</t>
  </si>
  <si>
    <t>Ratyzbona</t>
  </si>
  <si>
    <t>Q2978</t>
  </si>
  <si>
    <t>Riga</t>
  </si>
  <si>
    <t>Latvia</t>
  </si>
  <si>
    <t>Ryga</t>
  </si>
  <si>
    <t>Q1773</t>
  </si>
  <si>
    <t>Q8678</t>
  </si>
  <si>
    <t>Rockville</t>
  </si>
  <si>
    <t>Q327022</t>
  </si>
  <si>
    <t>Rzym</t>
  </si>
  <si>
    <t>Q220</t>
  </si>
  <si>
    <t>Q2861</t>
  </si>
  <si>
    <t>Rostov-on-Don</t>
  </si>
  <si>
    <t xml:space="preserve">Rostów nad Donem</t>
  </si>
  <si>
    <t>Q908</t>
  </si>
  <si>
    <t>Q598</t>
  </si>
  <si>
    <t>Q1724</t>
  </si>
  <si>
    <t xml:space="preserve">Salt Lake City</t>
  </si>
  <si>
    <t>Q23337</t>
  </si>
  <si>
    <t>Samara</t>
  </si>
  <si>
    <t>Q894</t>
  </si>
  <si>
    <t xml:space="preserve">San Diego</t>
  </si>
  <si>
    <t>Q16552</t>
  </si>
  <si>
    <t>Q62</t>
  </si>
  <si>
    <t>Q174</t>
  </si>
  <si>
    <t>Saransk</t>
  </si>
  <si>
    <t>Sarańsk</t>
  </si>
  <si>
    <t>Q5343</t>
  </si>
  <si>
    <t>Saratov</t>
  </si>
  <si>
    <t>Saratów</t>
  </si>
  <si>
    <t>Q5332</t>
  </si>
  <si>
    <t>Austria</t>
  </si>
  <si>
    <t>Q489972</t>
  </si>
  <si>
    <t>Skopje</t>
  </si>
  <si>
    <t xml:space="preserve">North Macedonia</t>
  </si>
  <si>
    <t>Q384</t>
  </si>
  <si>
    <t>Q105048</t>
  </si>
  <si>
    <t>Q472</t>
  </si>
  <si>
    <t>Sopot</t>
  </si>
  <si>
    <t>Q92689</t>
  </si>
  <si>
    <t xml:space="preserve">St Petersburg</t>
  </si>
  <si>
    <t xml:space="preserve">Sankt Petersburg</t>
  </si>
  <si>
    <t>Q656</t>
  </si>
  <si>
    <t xml:space="preserve">Saint Petersburg</t>
  </si>
  <si>
    <t>Petersburg</t>
  </si>
  <si>
    <t>Q82500</t>
  </si>
  <si>
    <t>Q998438</t>
  </si>
  <si>
    <t>Sztokholm</t>
  </si>
  <si>
    <t>Q1754</t>
  </si>
  <si>
    <t>Q1022</t>
  </si>
  <si>
    <t>Sydney</t>
  </si>
  <si>
    <t>Q3130</t>
  </si>
  <si>
    <t>Syracuse</t>
  </si>
  <si>
    <t>Syrakuzy</t>
  </si>
  <si>
    <t>Q13670</t>
  </si>
  <si>
    <t>Q393</t>
  </si>
  <si>
    <t>Q81581</t>
  </si>
  <si>
    <t>Segedyn</t>
  </si>
  <si>
    <t>Taiwan</t>
  </si>
  <si>
    <t>Tajwan</t>
  </si>
  <si>
    <t>Q865</t>
  </si>
  <si>
    <t xml:space="preserve">Republika Chińska</t>
  </si>
  <si>
    <t>Estonia</t>
  </si>
  <si>
    <t>Q1770</t>
  </si>
  <si>
    <t>Q16898414</t>
  </si>
  <si>
    <t xml:space="preserve">Târgu Mureș</t>
  </si>
  <si>
    <t>Q28516</t>
  </si>
  <si>
    <t>Q106281</t>
  </si>
  <si>
    <t>Q13972</t>
  </si>
  <si>
    <t>Iran</t>
  </si>
  <si>
    <t>Teheran</t>
  </si>
  <si>
    <t>Q3616</t>
  </si>
  <si>
    <t xml:space="preserve">Tel Aviv</t>
  </si>
  <si>
    <t xml:space="preserve">Tel Awiw</t>
  </si>
  <si>
    <t>Q33935</t>
  </si>
  <si>
    <t xml:space="preserve">Tel Awiw-Jafa</t>
  </si>
  <si>
    <t>Ternopil</t>
  </si>
  <si>
    <t>Tarnopol</t>
  </si>
  <si>
    <t>Q156743</t>
  </si>
  <si>
    <t xml:space="preserve">Terre Haute</t>
  </si>
  <si>
    <t>Q492478</t>
  </si>
  <si>
    <t>Timişoara</t>
  </si>
  <si>
    <t>Q83404</t>
  </si>
  <si>
    <t>Japan</t>
  </si>
  <si>
    <t>Tokio</t>
  </si>
  <si>
    <t>Q1490</t>
  </si>
  <si>
    <t>Q172</t>
  </si>
  <si>
    <t>Torun</t>
  </si>
  <si>
    <t>Q47554</t>
  </si>
  <si>
    <t>Tuluza</t>
  </si>
  <si>
    <t>Q7880</t>
  </si>
  <si>
    <t>Q5489</t>
  </si>
  <si>
    <t>Tybinga</t>
  </si>
  <si>
    <t>Q3806</t>
  </si>
  <si>
    <t>Turin</t>
  </si>
  <si>
    <t>Turyn</t>
  </si>
  <si>
    <t>Q495</t>
  </si>
  <si>
    <t>Ulaanbaatar</t>
  </si>
  <si>
    <t>Mongolia</t>
  </si>
  <si>
    <t xml:space="preserve">Ułan Bator</t>
  </si>
  <si>
    <t>Q23430</t>
  </si>
  <si>
    <t>Q30</t>
  </si>
  <si>
    <t xml:space="preserve">Stany Zjednoczone</t>
  </si>
  <si>
    <t>Q991548</t>
  </si>
  <si>
    <t>Walk</t>
  </si>
  <si>
    <t xml:space="preserve">Russian Empire</t>
  </si>
  <si>
    <t>Vienna</t>
  </si>
  <si>
    <t>Wiedeń</t>
  </si>
  <si>
    <t>Q1741</t>
  </si>
  <si>
    <t>Wilno</t>
  </si>
  <si>
    <t>Q216</t>
  </si>
  <si>
    <t>Vitoria-Gasteiz</t>
  </si>
  <si>
    <t>Vitoria</t>
  </si>
  <si>
    <t>Q14318</t>
  </si>
  <si>
    <t>Volgograd</t>
  </si>
  <si>
    <t>Wołgograd</t>
  </si>
  <si>
    <t>Q914</t>
  </si>
  <si>
    <t>Voronezh</t>
  </si>
  <si>
    <t>Woroneż</t>
  </si>
  <si>
    <t>Q3426</t>
  </si>
  <si>
    <t>Q270</t>
  </si>
  <si>
    <t>Waszyngton</t>
  </si>
  <si>
    <t>Q1223</t>
  </si>
  <si>
    <t>Waukesha</t>
  </si>
  <si>
    <t>Q94919</t>
  </si>
  <si>
    <t>Q7050</t>
  </si>
  <si>
    <t>Q1721</t>
  </si>
  <si>
    <t>Q2855659</t>
  </si>
  <si>
    <t xml:space="preserve">Wołowiec, Lesser Poland Voivodeship</t>
  </si>
  <si>
    <t>Wroclaw</t>
  </si>
  <si>
    <t>Q1799</t>
  </si>
  <si>
    <t>Q2107</t>
  </si>
  <si>
    <t>Yekaterinburg</t>
  </si>
  <si>
    <t>Jekaterynburg</t>
  </si>
  <si>
    <t>Q887</t>
  </si>
  <si>
    <t>Zagorsk</t>
  </si>
  <si>
    <t>Q1063696</t>
  </si>
  <si>
    <t>Zagorskoye</t>
  </si>
  <si>
    <t>Croatia</t>
  </si>
  <si>
    <t>Zagrzeb</t>
  </si>
  <si>
    <t>Q1435</t>
  </si>
  <si>
    <t>Q8065191</t>
  </si>
  <si>
    <t>Q30340</t>
  </si>
  <si>
    <t>Zhytomyr</t>
  </si>
  <si>
    <t>Żytomierz</t>
  </si>
  <si>
    <t>Q156713</t>
  </si>
  <si>
    <t>Q104720</t>
  </si>
  <si>
    <t>Zurich</t>
  </si>
  <si>
    <t>Zurych</t>
  </si>
  <si>
    <t>Q72</t>
  </si>
  <si>
    <t>Q35493</t>
  </si>
  <si>
    <t>Almaty</t>
  </si>
  <si>
    <t>Kazakhstan</t>
  </si>
  <si>
    <t>Ałmaty</t>
  </si>
  <si>
    <t>Q5274</t>
  </si>
  <si>
    <t>Balve</t>
  </si>
  <si>
    <t>Q6014</t>
  </si>
  <si>
    <t>Barnaul</t>
  </si>
  <si>
    <t>Barnauł</t>
  </si>
  <si>
    <t>Q1012</t>
  </si>
  <si>
    <t>Celje</t>
  </si>
  <si>
    <t>Q5326</t>
  </si>
  <si>
    <t>Cherkessk</t>
  </si>
  <si>
    <t>Czerkiesk</t>
  </si>
  <si>
    <t>Q53139</t>
  </si>
  <si>
    <t>Chita</t>
  </si>
  <si>
    <t>Czyta</t>
  </si>
  <si>
    <t>Q2330083</t>
  </si>
  <si>
    <t>Chotomów</t>
  </si>
  <si>
    <t>Q1748</t>
  </si>
  <si>
    <t>Copenhagen</t>
  </si>
  <si>
    <t>Denmark</t>
  </si>
  <si>
    <t>Kopenhaga</t>
  </si>
  <si>
    <t>Q6576</t>
  </si>
  <si>
    <t>Irkutsk</t>
  </si>
  <si>
    <t>Irkuck</t>
  </si>
  <si>
    <t>Q6066</t>
  </si>
  <si>
    <t>Kemerovo</t>
  </si>
  <si>
    <t>Kemerowo</t>
  </si>
  <si>
    <t>Q21197</t>
  </si>
  <si>
    <t>Chișinău</t>
  </si>
  <si>
    <t>Moldova</t>
  </si>
  <si>
    <t>Kiszyniów</t>
  </si>
  <si>
    <t>Q41753</t>
  </si>
  <si>
    <t xml:space="preserve">Klagenfurt am Wörthersee</t>
  </si>
  <si>
    <t>Q9945</t>
  </si>
  <si>
    <t>Laren</t>
  </si>
  <si>
    <t>Q807</t>
  </si>
  <si>
    <t>Lausanne</t>
  </si>
  <si>
    <t>Lozanna</t>
  </si>
  <si>
    <t>Q49188</t>
  </si>
  <si>
    <t>Lynn</t>
  </si>
  <si>
    <t>Q204234</t>
  </si>
  <si>
    <t xml:space="preserve">Milton Keynes</t>
  </si>
  <si>
    <t>Q25395</t>
  </si>
  <si>
    <t>Newark</t>
  </si>
  <si>
    <t>Q660484</t>
  </si>
  <si>
    <t xml:space="preserve">Newton Abbot</t>
  </si>
  <si>
    <t>Q891</t>
  </si>
  <si>
    <t xml:space="preserve">Nizhny Novgorod</t>
  </si>
  <si>
    <t xml:space="preserve">Niżny Nowogród</t>
  </si>
  <si>
    <t>Q54217</t>
  </si>
  <si>
    <t>Norwalk</t>
  </si>
  <si>
    <t>Q489902</t>
  </si>
  <si>
    <t>Nördlingen</t>
  </si>
  <si>
    <t>Q585</t>
  </si>
  <si>
    <t>Oslo</t>
  </si>
  <si>
    <t>Norway</t>
  </si>
  <si>
    <t>Q2656</t>
  </si>
  <si>
    <t>Palermo</t>
  </si>
  <si>
    <t>Q6896</t>
  </si>
  <si>
    <t>Rheda-Wiedenbrück</t>
  </si>
  <si>
    <t>Q8684</t>
  </si>
  <si>
    <t>Seoul</t>
  </si>
  <si>
    <t xml:space="preserve">South Korea</t>
  </si>
  <si>
    <t>Seul</t>
  </si>
  <si>
    <t>Q8686</t>
  </si>
  <si>
    <t>Shanghai</t>
  </si>
  <si>
    <t>Szanghaj</t>
  </si>
  <si>
    <t>Q5206</t>
  </si>
  <si>
    <t>Stavropol</t>
  </si>
  <si>
    <t>Stawropol</t>
  </si>
  <si>
    <t>Q1867</t>
  </si>
  <si>
    <t>Taipei</t>
  </si>
  <si>
    <t>Tajpej</t>
  </si>
  <si>
    <t>Q994</t>
  </si>
  <si>
    <t>Tbilisi</t>
  </si>
  <si>
    <t>Q651811</t>
  </si>
  <si>
    <t>Tielt</t>
  </si>
  <si>
    <t>Q803</t>
  </si>
  <si>
    <t>Utrecht</t>
  </si>
  <si>
    <t>Q1281756</t>
  </si>
  <si>
    <t>Vanløse</t>
  </si>
  <si>
    <t>Q6506</t>
  </si>
  <si>
    <t>Varna</t>
  </si>
  <si>
    <t>Warna</t>
  </si>
  <si>
    <t>Q125080</t>
  </si>
  <si>
    <t>Vaasa</t>
  </si>
  <si>
    <t>Q202954</t>
  </si>
  <si>
    <t>Verviers</t>
  </si>
  <si>
    <t>Q1860460</t>
  </si>
  <si>
    <t xml:space="preserve">Vnanje Gorice</t>
  </si>
  <si>
    <t>Q1953</t>
  </si>
  <si>
    <t>Yerevan</t>
  </si>
  <si>
    <t>Armenia</t>
  </si>
  <si>
    <t>Erywań</t>
  </si>
  <si>
    <t>Alma-Ata</t>
  </si>
  <si>
    <t>Beriln</t>
  </si>
  <si>
    <t>Cluj</t>
  </si>
  <si>
    <t xml:space="preserve">Evanston, Illinois</t>
  </si>
  <si>
    <t>Frunze</t>
  </si>
  <si>
    <t>Instanbul</t>
  </si>
  <si>
    <t>Kiev</t>
  </si>
  <si>
    <t>Kishinev</t>
  </si>
  <si>
    <t>Klagenfurt</t>
  </si>
  <si>
    <t>Leningrad</t>
  </si>
  <si>
    <t>Lvov</t>
  </si>
  <si>
    <t>Massachusetts</t>
  </si>
  <si>
    <t>Minnesota</t>
  </si>
  <si>
    <t>Moskva</t>
  </si>
  <si>
    <t xml:space="preserve">Nizhniy Novgorod</t>
  </si>
  <si>
    <t>Rostov-na-Donu</t>
  </si>
  <si>
    <t>Sankt-Peterburg</t>
  </si>
  <si>
    <t xml:space="preserve">Sao Paulo</t>
  </si>
  <si>
    <t>Tel-Aviv</t>
  </si>
  <si>
    <t>Vasa</t>
  </si>
  <si>
    <t>Warsow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</si>
</sst>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</font>
    <font>
      <sz val="10.000000"/>
      <name val="Arial"/>
    </font>
    <font>
      <sz val="11.000000"/>
      <color theme="1"/>
      <name val="Microsoft YaHei"/>
    </font>
    <font>
      <b/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6">
    <xf fontId="0" fillId="0" borderId="0" numFmtId="0" xfId="0" applyProtection="0">
      <protection hidden="0" locked="1"/>
    </xf>
    <xf fontId="0" fillId="0" borderId="0" numFmtId="0" xfId="0" applyAlignment="1" applyProtection="1">
      <alignment horizontal="right" indent="1"/>
      <protection hidden="0" locked="1"/>
    </xf>
    <xf fontId="0" fillId="0" borderId="0" numFmtId="49" xfId="0" applyNumberFormat="1" applyAlignment="1" applyProtection="1">
      <alignment horizontal="left"/>
      <protection hidden="0" locked="1"/>
    </xf>
    <xf fontId="0" fillId="0" borderId="0" numFmtId="0" xfId="0" applyProtection="1">
      <protection hidden="0" locked="1"/>
    </xf>
    <xf fontId="2" fillId="0" borderId="0" numFmtId="0" xfId="0" applyFont="1" applyAlignment="1" applyProtection="1">
      <alignment horizontal="right" indent="1"/>
      <protection hidden="0" locked="1"/>
    </xf>
    <xf fontId="3" fillId="0" borderId="0" numFmtId="0" xfId="0" applyFon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L17" activeCellId="0" sqref="L17"/>
    </sheetView>
  </sheetViews>
  <sheetFormatPr defaultColWidth="14.43359375" defaultRowHeight="15" customHeight="1"/>
  <cols>
    <col customWidth="1" min="1" max="1" style="1" width="42.43"/>
    <col customWidth="1" min="2" max="2" style="2" width="11.529999999999999"/>
    <col customWidth="1" min="3" max="3" style="3" width="8.2799999999999994"/>
    <col customWidth="1" min="4" max="26" style="3" width="8.5700000000000003"/>
  </cols>
  <sheetData>
    <row r="1" ht="15">
      <c r="A1" s="1" t="s">
        <v>0</v>
      </c>
      <c r="B1" s="2" t="s">
        <v>1</v>
      </c>
      <c r="C1"/>
      <c r="L1" s="3" t="s">
        <v>2</v>
      </c>
    </row>
    <row r="2" ht="15">
      <c r="A2" s="1" t="s">
        <v>3</v>
      </c>
      <c r="B2" s="2" t="s">
        <v>4</v>
      </c>
      <c r="G2" s="3" t="str">
        <f>IFERROR(VLOOKUP(B2,data!$A:$J,10,FALSE()),"")</f>
        <v>E53_G96</v>
      </c>
      <c r="H2" s="3" t="str">
        <f>IFERROR(VLOOKUP(C2,data!$A:$J,10,FALSE()),"")</f>
        <v/>
      </c>
      <c r="I2" s="3" t="str">
        <f>IFERROR(VLOOKUP(D2,data!$A:$J,10,FALSE()),"")</f>
        <v/>
      </c>
      <c r="J2" s="3" t="str">
        <f>IFERROR(VLOOKUP(E2,data!$A:$J,10,FALSE()),"")</f>
        <v/>
      </c>
      <c r="K2" s="3" t="str">
        <f>IFERROR(VLOOKUP(F2,data!$A:$J,10,FALSE()),"")</f>
        <v/>
      </c>
      <c r="L2" s="3" t="str">
        <f t="shared" ref="L2:L9" si="0">_xlfn.TEXTJOIN(" ",TRUE(),G2:K2)</f>
        <v>E53_G96</v>
      </c>
    </row>
    <row r="3" ht="15">
      <c r="A3" s="1" t="s">
        <v>5</v>
      </c>
      <c r="B3" s="2" t="s">
        <v>4</v>
      </c>
      <c r="G3" s="3" t="str">
        <f>IFERROR(VLOOKUP(B3,data!$A:$J,10,FALSE()),"")</f>
        <v>E53_G96</v>
      </c>
      <c r="H3" s="3" t="str">
        <f>IFERROR(VLOOKUP(C3,data!$A:$J,10,FALSE()),"")</f>
        <v/>
      </c>
      <c r="I3" s="3" t="str">
        <f>IFERROR(VLOOKUP(D3,data!$A:$J,10,FALSE()),"")</f>
        <v/>
      </c>
      <c r="J3" s="3" t="str">
        <f>IFERROR(VLOOKUP(E3,data!$A:$J,10,FALSE()),"")</f>
        <v/>
      </c>
      <c r="K3" s="3" t="str">
        <f>IFERROR(VLOOKUP(F3,data!$A:$J,10,FALSE()),"")</f>
        <v/>
      </c>
      <c r="L3" s="3" t="str">
        <f t="shared" si="0"/>
        <v>E53_G96</v>
      </c>
    </row>
    <row r="4" ht="15">
      <c r="A4" s="1" t="s">
        <v>6</v>
      </c>
      <c r="B4" s="2" t="s">
        <v>7</v>
      </c>
      <c r="G4" s="3" t="str">
        <f>IFERROR(VLOOKUP(B4,data!$A:$J,10,FALSE()),"")</f>
        <v>E53_G121</v>
      </c>
      <c r="H4" s="3" t="str">
        <f>IFERROR(VLOOKUP(C4,data!$A:$J,10,FALSE()),"")</f>
        <v/>
      </c>
      <c r="I4" s="3" t="str">
        <f>IFERROR(VLOOKUP(D4,data!$A:$J,10,FALSE()),"")</f>
        <v/>
      </c>
      <c r="J4" s="3" t="str">
        <f>IFERROR(VLOOKUP(E4,data!$A:$J,10,FALSE()),"")</f>
        <v/>
      </c>
      <c r="K4" s="3" t="str">
        <f>IFERROR(VLOOKUP(F4,data!$A:$J,10,FALSE()),"")</f>
        <v/>
      </c>
      <c r="L4" s="3" t="str">
        <f t="shared" si="0"/>
        <v>E53_G121</v>
      </c>
    </row>
    <row r="5" ht="15">
      <c r="A5" s="1" t="s">
        <v>8</v>
      </c>
      <c r="B5" s="2" t="s">
        <v>9</v>
      </c>
      <c r="G5" s="3" t="str">
        <f>IFERROR(VLOOKUP(B5,data!$A:$J,10,FALSE()),"")</f>
        <v>E53_G130</v>
      </c>
      <c r="H5" s="3" t="str">
        <f>IFERROR(VLOOKUP(C5,data!$A:$J,10,FALSE()),"")</f>
        <v/>
      </c>
      <c r="I5" s="3" t="str">
        <f>IFERROR(VLOOKUP(D5,data!$A:$J,10,FALSE()),"")</f>
        <v/>
      </c>
      <c r="J5" s="3" t="str">
        <f>IFERROR(VLOOKUP(E5,data!$A:$J,10,FALSE()),"")</f>
        <v/>
      </c>
      <c r="K5" s="3" t="str">
        <f>IFERROR(VLOOKUP(F5,data!$A:$J,10,FALSE()),"")</f>
        <v/>
      </c>
      <c r="L5" s="3" t="str">
        <f t="shared" si="0"/>
        <v>E53_G130</v>
      </c>
    </row>
    <row r="6" ht="15">
      <c r="A6" s="1" t="s">
        <v>10</v>
      </c>
      <c r="B6" s="2" t="s">
        <v>11</v>
      </c>
      <c r="G6" s="3" t="str">
        <f>IFERROR(VLOOKUP(B6,data!$A:$J,10,FALSE()),"")</f>
        <v>E53_G218</v>
      </c>
      <c r="H6" s="3" t="str">
        <f>IFERROR(VLOOKUP(C6,data!$A:$J,10,FALSE()),"")</f>
        <v/>
      </c>
      <c r="I6" s="3" t="str">
        <f>IFERROR(VLOOKUP(D6,data!$A:$J,10,FALSE()),"")</f>
        <v/>
      </c>
      <c r="J6" s="3" t="str">
        <f>IFERROR(VLOOKUP(E6,data!$A:$J,10,FALSE()),"")</f>
        <v/>
      </c>
      <c r="K6" s="3" t="str">
        <f>IFERROR(VLOOKUP(F6,data!$A:$J,10,FALSE()),"")</f>
        <v/>
      </c>
      <c r="L6" s="3" t="str">
        <f t="shared" si="0"/>
        <v>E53_G218</v>
      </c>
    </row>
    <row r="7" ht="15">
      <c r="A7" s="1" t="s">
        <v>12</v>
      </c>
      <c r="B7" s="2" t="s">
        <v>13</v>
      </c>
      <c r="G7" s="3" t="str">
        <f>IFERROR(VLOOKUP(B7,data!$A:$J,10,FALSE()),"")</f>
        <v>E53_G29</v>
      </c>
      <c r="H7" s="3" t="str">
        <f>IFERROR(VLOOKUP(C7,data!$A:$J,10,FALSE()),"")</f>
        <v/>
      </c>
      <c r="I7" s="3" t="str">
        <f>IFERROR(VLOOKUP(D7,data!$A:$J,10,FALSE()),"")</f>
        <v/>
      </c>
      <c r="J7" s="3" t="str">
        <f>IFERROR(VLOOKUP(E7,data!$A:$J,10,FALSE()),"")</f>
        <v/>
      </c>
      <c r="K7" s="3" t="str">
        <f>IFERROR(VLOOKUP(F7,data!$A:$J,10,FALSE()),"")</f>
        <v/>
      </c>
      <c r="L7" s="3" t="str">
        <f t="shared" si="0"/>
        <v>E53_G29</v>
      </c>
    </row>
    <row r="8" ht="15">
      <c r="A8" s="1" t="s">
        <v>14</v>
      </c>
      <c r="B8" s="2" t="s">
        <v>15</v>
      </c>
      <c r="G8" s="3" t="str">
        <f>IFERROR(VLOOKUP(B8,data!$A:$J,10,FALSE()),"")</f>
        <v>E53_G83</v>
      </c>
      <c r="H8" s="3" t="str">
        <f>IFERROR(VLOOKUP(C8,data!$A:$J,10,FALSE()),"")</f>
        <v/>
      </c>
      <c r="I8" s="3" t="str">
        <f>IFERROR(VLOOKUP(D8,data!$A:$J,10,FALSE()),"")</f>
        <v/>
      </c>
      <c r="J8" s="3" t="str">
        <f>IFERROR(VLOOKUP(E8,data!$A:$J,10,FALSE()),"")</f>
        <v/>
      </c>
      <c r="K8" s="3" t="str">
        <f>IFERROR(VLOOKUP(F8,data!$A:$J,10,FALSE()),"")</f>
        <v/>
      </c>
      <c r="L8" s="3" t="str">
        <f t="shared" si="0"/>
        <v>E53_G83</v>
      </c>
    </row>
    <row r="9" ht="15">
      <c r="A9" s="1" t="s">
        <v>16</v>
      </c>
      <c r="B9" s="2" t="s">
        <v>17</v>
      </c>
      <c r="G9" s="3" t="str">
        <f>IFERROR(VLOOKUP(B9,data!$A:$J,10,FALSE()),"")</f>
        <v>E53_G59</v>
      </c>
      <c r="H9" s="3" t="str">
        <f>IFERROR(VLOOKUP(C9,data!$A:$J,10,FALSE()),"")</f>
        <v/>
      </c>
      <c r="I9" s="3" t="str">
        <f>IFERROR(VLOOKUP(D9,data!$A:$J,10,FALSE()),"")</f>
        <v/>
      </c>
      <c r="J9" s="3" t="str">
        <f>IFERROR(VLOOKUP(E9,data!$A:$J,10,FALSE()),"")</f>
        <v/>
      </c>
      <c r="K9" s="3" t="str">
        <f>IFERROR(VLOOKUP(F9,data!$A:$J,10,FALSE()),"")</f>
        <v/>
      </c>
      <c r="L9" s="3" t="str">
        <f t="shared" si="0"/>
        <v>E53_G59</v>
      </c>
    </row>
    <row r="10" ht="15">
      <c r="A10" s="1" t="s">
        <v>18</v>
      </c>
      <c r="B10" s="2" t="s">
        <v>19</v>
      </c>
      <c r="G10" s="3" t="str">
        <f>IFERROR(VLOOKUP(B10,data!$A:$J,10,FALSE()),"")</f>
        <v>E53_G164</v>
      </c>
      <c r="H10" s="3" t="str">
        <f>IFERROR(VLOOKUP(C10,data!$A:$J,10,FALSE()),"")</f>
        <v/>
      </c>
      <c r="I10" s="3" t="str">
        <f>IFERROR(VLOOKUP(D10,data!$A:$J,10,FALSE()),"")</f>
        <v/>
      </c>
      <c r="J10" s="3" t="str">
        <f>IFERROR(VLOOKUP(E10,data!$A:$J,10,FALSE()),"")</f>
        <v/>
      </c>
      <c r="K10" s="3" t="str">
        <f>IFERROR(VLOOKUP(F10,data!$A:$J,10,FALSE()),"")</f>
        <v/>
      </c>
      <c r="L10" s="3" t="str">
        <f t="shared" ref="L10:L73" si="1">_xlfn.TEXTJOIN(" ",TRUE(),G10:K10)</f>
        <v>E53_G164</v>
      </c>
    </row>
    <row r="11" ht="15">
      <c r="A11" s="1" t="s">
        <v>20</v>
      </c>
      <c r="B11" s="2" t="s">
        <v>21</v>
      </c>
      <c r="G11" s="3" t="str">
        <f>IFERROR(VLOOKUP(B11,data!$A:$J,10,FALSE()),"")</f>
        <v>E53_G2</v>
      </c>
      <c r="H11" s="3" t="str">
        <f>IFERROR(VLOOKUP(C11,data!$A:$J,10,FALSE()),"")</f>
        <v/>
      </c>
      <c r="I11" s="3" t="str">
        <f>IFERROR(VLOOKUP(D11,data!$A:$J,10,FALSE()),"")</f>
        <v/>
      </c>
      <c r="J11" s="3" t="str">
        <f>IFERROR(VLOOKUP(E11,data!$A:$J,10,FALSE()),"")</f>
        <v/>
      </c>
      <c r="K11" s="3" t="str">
        <f>IFERROR(VLOOKUP(F11,data!$A:$J,10,FALSE()),"")</f>
        <v/>
      </c>
      <c r="L11" s="3" t="str">
        <f t="shared" si="1"/>
        <v>E53_G2</v>
      </c>
    </row>
    <row r="12" ht="15">
      <c r="A12" s="1" t="s">
        <v>22</v>
      </c>
      <c r="B12" s="2" t="s">
        <v>23</v>
      </c>
      <c r="G12" s="3" t="str">
        <f>IFERROR(VLOOKUP(B12,data!$A:$J,10,FALSE()),"")</f>
        <v>E53_G148</v>
      </c>
      <c r="H12" s="3" t="str">
        <f>IFERROR(VLOOKUP(C12,data!$A:$J,10,FALSE()),"")</f>
        <v/>
      </c>
      <c r="I12" s="3" t="str">
        <f>IFERROR(VLOOKUP(D12,data!$A:$J,10,FALSE()),"")</f>
        <v/>
      </c>
      <c r="J12" s="3" t="str">
        <f>IFERROR(VLOOKUP(E12,data!$A:$J,10,FALSE()),"")</f>
        <v/>
      </c>
      <c r="K12" s="3" t="str">
        <f>IFERROR(VLOOKUP(F12,data!$A:$J,10,FALSE()),"")</f>
        <v/>
      </c>
      <c r="L12" s="3" t="str">
        <f t="shared" si="1"/>
        <v>E53_G148</v>
      </c>
    </row>
    <row r="13" ht="15">
      <c r="A13" s="1" t="s">
        <v>24</v>
      </c>
      <c r="B13" s="2" t="s">
        <v>25</v>
      </c>
      <c r="G13" s="3" t="str">
        <f>IFERROR(VLOOKUP(B13,data!$A:$J,10,FALSE()),"")</f>
        <v>E53_G65</v>
      </c>
      <c r="H13" s="3" t="str">
        <f>IFERROR(VLOOKUP(C13,data!$A:$J,10,FALSE()),"")</f>
        <v/>
      </c>
      <c r="I13" s="3" t="str">
        <f>IFERROR(VLOOKUP(D13,data!$A:$J,10,FALSE()),"")</f>
        <v/>
      </c>
      <c r="J13" s="3" t="str">
        <f>IFERROR(VLOOKUP(E13,data!$A:$J,10,FALSE()),"")</f>
        <v/>
      </c>
      <c r="K13" s="3" t="str">
        <f>IFERROR(VLOOKUP(F13,data!$A:$J,10,FALSE()),"")</f>
        <v/>
      </c>
      <c r="L13" s="3" t="str">
        <f t="shared" si="1"/>
        <v>E53_G65</v>
      </c>
    </row>
    <row r="14" ht="15">
      <c r="A14" s="1" t="s">
        <v>26</v>
      </c>
      <c r="B14" s="2" t="s">
        <v>27</v>
      </c>
      <c r="G14" s="3" t="str">
        <f>IFERROR(VLOOKUP(B14,data!$A:$J,10,FALSE()),"")</f>
        <v>E53_G14</v>
      </c>
      <c r="H14" s="3" t="str">
        <f>IFERROR(VLOOKUP(C14,data!$A:$J,10,FALSE()),"")</f>
        <v/>
      </c>
      <c r="I14" s="3" t="str">
        <f>IFERROR(VLOOKUP(D14,data!$A:$J,10,FALSE()),"")</f>
        <v/>
      </c>
      <c r="J14" s="3" t="str">
        <f>IFERROR(VLOOKUP(E14,data!$A:$J,10,FALSE()),"")</f>
        <v/>
      </c>
      <c r="K14" s="3" t="str">
        <f>IFERROR(VLOOKUP(F14,data!$A:$J,10,FALSE()),"")</f>
        <v/>
      </c>
      <c r="L14" s="3" t="str">
        <f t="shared" si="1"/>
        <v>E53_G14</v>
      </c>
    </row>
    <row r="15" ht="15">
      <c r="A15" s="1" t="s">
        <v>28</v>
      </c>
      <c r="B15" s="2" t="s">
        <v>27</v>
      </c>
      <c r="G15" s="3" t="str">
        <f>IFERROR(VLOOKUP(B15,data!$A:$J,10,FALSE()),"")</f>
        <v>E53_G14</v>
      </c>
      <c r="H15" s="3" t="str">
        <f>IFERROR(VLOOKUP(C15,data!$A:$J,10,FALSE()),"")</f>
        <v/>
      </c>
      <c r="I15" s="3" t="str">
        <f>IFERROR(VLOOKUP(D15,data!$A:$J,10,FALSE()),"")</f>
        <v/>
      </c>
      <c r="J15" s="3" t="str">
        <f>IFERROR(VLOOKUP(E15,data!$A:$J,10,FALSE()),"")</f>
        <v/>
      </c>
      <c r="K15" s="3" t="str">
        <f>IFERROR(VLOOKUP(F15,data!$A:$J,10,FALSE()),"")</f>
        <v/>
      </c>
      <c r="L15" s="3" t="str">
        <f t="shared" si="1"/>
        <v>E53_G14</v>
      </c>
    </row>
    <row r="16" ht="15">
      <c r="A16" s="1" t="s">
        <v>29</v>
      </c>
      <c r="B16" s="2" t="s">
        <v>25</v>
      </c>
      <c r="C16" s="3">
        <v>2950159</v>
      </c>
      <c r="G16" s="3" t="str">
        <f>IFERROR(VLOOKUP(B16,data!$A:$J,10,FALSE()),"")</f>
        <v>E53_G65</v>
      </c>
      <c r="H16" s="3" t="str">
        <f>IFERROR(VLOOKUP(C16,data!$A:$J,10,FALSE()),"")</f>
        <v>E53_G14</v>
      </c>
      <c r="I16" s="3" t="str">
        <f>IFERROR(VLOOKUP(D16,data!$A:$J,10,FALSE()),"")</f>
        <v/>
      </c>
      <c r="J16" s="3" t="str">
        <f>IFERROR(VLOOKUP(E16,data!$A:$J,10,FALSE()),"")</f>
        <v/>
      </c>
      <c r="K16" s="3" t="str">
        <f>IFERROR(VLOOKUP(F16,data!$A:$J,10,FALSE()),"")</f>
        <v/>
      </c>
      <c r="L16" s="3" t="str">
        <f t="shared" si="1"/>
        <v xml:space="preserve">E53_G65 E53_G14</v>
      </c>
    </row>
    <row r="17" ht="15">
      <c r="A17" s="1" t="s">
        <v>30</v>
      </c>
      <c r="B17" s="2" t="s">
        <v>31</v>
      </c>
      <c r="G17" s="3" t="str">
        <f>IFERROR(VLOOKUP(B17,data!$A:$J,10,FALSE()),"")</f>
        <v>E53_G187</v>
      </c>
      <c r="H17" s="3" t="str">
        <f>IFERROR(VLOOKUP(C17,data!$A:$J,10,FALSE()),"")</f>
        <v/>
      </c>
      <c r="I17" s="3" t="str">
        <f>IFERROR(VLOOKUP(D17,data!$A:$J,10,FALSE()),"")</f>
        <v/>
      </c>
      <c r="J17" s="3" t="str">
        <f>IFERROR(VLOOKUP(E17,data!$A:$J,10,FALSE()),"")</f>
        <v/>
      </c>
      <c r="K17" s="3" t="str">
        <f>IFERROR(VLOOKUP(F17,data!$A:$J,10,FALSE()),"")</f>
        <v/>
      </c>
      <c r="L17" s="3" t="str">
        <f t="shared" si="1"/>
        <v>E53_G187</v>
      </c>
    </row>
    <row r="18" ht="15">
      <c r="A18" s="1" t="s">
        <v>32</v>
      </c>
      <c r="B18" s="2" t="s">
        <v>33</v>
      </c>
      <c r="G18" s="3" t="str">
        <f>IFERROR(VLOOKUP(B18,data!$A:$J,10,FALSE()),"")</f>
        <v>E53_G170</v>
      </c>
      <c r="H18" s="3" t="str">
        <f>IFERROR(VLOOKUP(C18,data!$A:$J,10,FALSE()),"")</f>
        <v/>
      </c>
      <c r="I18" s="3" t="str">
        <f>IFERROR(VLOOKUP(D18,data!$A:$J,10,FALSE()),"")</f>
        <v/>
      </c>
      <c r="J18" s="3" t="str">
        <f>IFERROR(VLOOKUP(E18,data!$A:$J,10,FALSE()),"")</f>
        <v/>
      </c>
      <c r="K18" s="3" t="str">
        <f>IFERROR(VLOOKUP(F18,data!$A:$J,10,FALSE()),"")</f>
        <v/>
      </c>
      <c r="L18" s="3" t="str">
        <f t="shared" si="1"/>
        <v>E53_G170</v>
      </c>
    </row>
    <row r="19" ht="15">
      <c r="A19" s="1" t="s">
        <v>34</v>
      </c>
      <c r="B19" s="2" t="s">
        <v>35</v>
      </c>
      <c r="G19" s="3" t="str">
        <f>IFERROR(VLOOKUP(B19,data!$A:$J,10,FALSE()),"")</f>
        <v>E53_G104</v>
      </c>
      <c r="H19" s="3" t="str">
        <f>IFERROR(VLOOKUP(C19,data!$A:$J,10,FALSE()),"")</f>
        <v/>
      </c>
      <c r="I19" s="3" t="str">
        <f>IFERROR(VLOOKUP(D19,data!$A:$J,10,FALSE()),"")</f>
        <v/>
      </c>
      <c r="J19" s="3" t="str">
        <f>IFERROR(VLOOKUP(E19,data!$A:$J,10,FALSE()),"")</f>
        <v/>
      </c>
      <c r="K19" s="3" t="str">
        <f>IFERROR(VLOOKUP(F19,data!$A:$J,10,FALSE()),"")</f>
        <v/>
      </c>
      <c r="L19" s="3" t="str">
        <f t="shared" si="1"/>
        <v>E53_G104</v>
      </c>
    </row>
    <row r="20" ht="15">
      <c r="A20" s="1" t="s">
        <v>36</v>
      </c>
      <c r="B20" s="2" t="s">
        <v>37</v>
      </c>
      <c r="G20" s="3" t="str">
        <f>IFERROR(VLOOKUP(B20,data!$A:$J,10,FALSE()),"")</f>
        <v>E53_G157</v>
      </c>
      <c r="H20" s="3" t="str">
        <f>IFERROR(VLOOKUP(C20,data!$A:$J,10,FALSE()),"")</f>
        <v/>
      </c>
      <c r="I20" s="3" t="str">
        <f>IFERROR(VLOOKUP(D20,data!$A:$J,10,FALSE()),"")</f>
        <v/>
      </c>
      <c r="J20" s="3" t="str">
        <f>IFERROR(VLOOKUP(E20,data!$A:$J,10,FALSE()),"")</f>
        <v/>
      </c>
      <c r="K20" s="3" t="str">
        <f>IFERROR(VLOOKUP(F20,data!$A:$J,10,FALSE()),"")</f>
        <v/>
      </c>
      <c r="L20" s="3" t="str">
        <f t="shared" si="1"/>
        <v>E53_G157</v>
      </c>
    </row>
    <row r="21" ht="15.75" customHeight="1">
      <c r="A21" s="1" t="s">
        <v>38</v>
      </c>
      <c r="B21" s="2" t="s">
        <v>39</v>
      </c>
      <c r="G21" s="3" t="str">
        <f>IFERROR(VLOOKUP(B21,data!$A:$J,10,FALSE()),"")</f>
        <v>E53_G105</v>
      </c>
      <c r="H21" s="3" t="str">
        <f>IFERROR(VLOOKUP(C21,data!$A:$J,10,FALSE()),"")</f>
        <v/>
      </c>
      <c r="I21" s="3" t="str">
        <f>IFERROR(VLOOKUP(D21,data!$A:$J,10,FALSE()),"")</f>
        <v/>
      </c>
      <c r="J21" s="3" t="str">
        <f>IFERROR(VLOOKUP(E21,data!$A:$J,10,FALSE()),"")</f>
        <v/>
      </c>
      <c r="K21" s="3" t="str">
        <f>IFERROR(VLOOKUP(F21,data!$A:$J,10,FALSE()),"")</f>
        <v/>
      </c>
      <c r="L21" s="3" t="str">
        <f t="shared" si="1"/>
        <v>E53_G105</v>
      </c>
    </row>
    <row r="22" ht="15.75" customHeight="1">
      <c r="A22" s="1" t="s">
        <v>40</v>
      </c>
      <c r="B22" s="2" t="s">
        <v>41</v>
      </c>
      <c r="G22" s="3" t="str">
        <f>IFERROR(VLOOKUP(B22,data!$A:$J,10,FALSE()),"")</f>
        <v>E53_G107</v>
      </c>
      <c r="H22" s="3" t="str">
        <f>IFERROR(VLOOKUP(C22,data!$A:$J,10,FALSE()),"")</f>
        <v/>
      </c>
      <c r="I22" s="3" t="str">
        <f>IFERROR(VLOOKUP(D22,data!$A:$J,10,FALSE()),"")</f>
        <v/>
      </c>
      <c r="J22" s="3" t="str">
        <f>IFERROR(VLOOKUP(E22,data!$A:$J,10,FALSE()),"")</f>
        <v/>
      </c>
      <c r="K22" s="3" t="str">
        <f>IFERROR(VLOOKUP(F22,data!$A:$J,10,FALSE()),"")</f>
        <v/>
      </c>
      <c r="L22" s="3" t="str">
        <f t="shared" si="1"/>
        <v>E53_G107</v>
      </c>
    </row>
    <row r="23" ht="15.75" customHeight="1">
      <c r="A23" s="1" t="s">
        <v>42</v>
      </c>
      <c r="B23" s="2" t="s">
        <v>43</v>
      </c>
      <c r="G23" s="3" t="str">
        <f>IFERROR(VLOOKUP(B23,data!$A:$J,10,FALSE()),"")</f>
        <v>E53_G118</v>
      </c>
      <c r="H23" s="3" t="str">
        <f>IFERROR(VLOOKUP(C23,data!$A:$J,10,FALSE()),"")</f>
        <v/>
      </c>
      <c r="I23" s="3" t="str">
        <f>IFERROR(VLOOKUP(D23,data!$A:$J,10,FALSE()),"")</f>
        <v/>
      </c>
      <c r="J23" s="3" t="str">
        <f>IFERROR(VLOOKUP(E23,data!$A:$J,10,FALSE()),"")</f>
        <v/>
      </c>
      <c r="K23" s="3" t="str">
        <f>IFERROR(VLOOKUP(F23,data!$A:$J,10,FALSE()),"")</f>
        <v/>
      </c>
      <c r="L23" s="3" t="str">
        <f t="shared" si="1"/>
        <v>E53_G118</v>
      </c>
    </row>
    <row r="24" ht="15.75" customHeight="1">
      <c r="A24" s="1" t="s">
        <v>44</v>
      </c>
      <c r="B24" s="2" t="s">
        <v>45</v>
      </c>
      <c r="G24" s="3" t="str">
        <f>IFERROR(VLOOKUP(B24,data!$A:$J,10,FALSE()),"")</f>
        <v>E53_G31</v>
      </c>
      <c r="H24" s="3" t="str">
        <f>IFERROR(VLOOKUP(C24,data!$A:$J,10,FALSE()),"")</f>
        <v/>
      </c>
      <c r="I24" s="3" t="str">
        <f>IFERROR(VLOOKUP(D24,data!$A:$J,10,FALSE()),"")</f>
        <v/>
      </c>
      <c r="J24" s="3" t="str">
        <f>IFERROR(VLOOKUP(E24,data!$A:$J,10,FALSE()),"")</f>
        <v/>
      </c>
      <c r="K24" s="3" t="str">
        <f>IFERROR(VLOOKUP(F24,data!$A:$J,10,FALSE()),"")</f>
        <v/>
      </c>
      <c r="L24" s="3" t="str">
        <f t="shared" si="1"/>
        <v>E53_G31</v>
      </c>
    </row>
    <row r="25" ht="15.75" customHeight="1">
      <c r="A25" s="1" t="s">
        <v>46</v>
      </c>
      <c r="B25" s="2" t="s">
        <v>47</v>
      </c>
      <c r="G25" s="3" t="str">
        <f>IFERROR(VLOOKUP(B25,data!$A:$J,10,FALSE()),"")</f>
        <v>E53_G203</v>
      </c>
      <c r="H25" s="3" t="str">
        <f>IFERROR(VLOOKUP(C25,data!$A:$J,10,FALSE()),"")</f>
        <v/>
      </c>
      <c r="I25" s="3" t="str">
        <f>IFERROR(VLOOKUP(D25,data!$A:$J,10,FALSE()),"")</f>
        <v/>
      </c>
      <c r="J25" s="3" t="str">
        <f>IFERROR(VLOOKUP(E25,data!$A:$J,10,FALSE()),"")</f>
        <v/>
      </c>
      <c r="K25" s="3" t="str">
        <f>IFERROR(VLOOKUP(F25,data!$A:$J,10,FALSE()),"")</f>
        <v/>
      </c>
      <c r="L25" s="3" t="str">
        <f t="shared" si="1"/>
        <v>E53_G203</v>
      </c>
    </row>
    <row r="26" ht="15.75" customHeight="1">
      <c r="A26" s="1" t="s">
        <v>48</v>
      </c>
      <c r="B26" s="2" t="s">
        <v>49</v>
      </c>
      <c r="G26" s="3" t="str">
        <f>IFERROR(VLOOKUP(B26,data!$A:$J,10,FALSE()),"")</f>
        <v>E53_G46</v>
      </c>
      <c r="H26" s="3" t="str">
        <f>IFERROR(VLOOKUP(C26,data!$A:$J,10,FALSE()),"")</f>
        <v/>
      </c>
      <c r="I26" s="3" t="str">
        <f>IFERROR(VLOOKUP(D26,data!$A:$J,10,FALSE()),"")</f>
        <v/>
      </c>
      <c r="J26" s="3" t="str">
        <f>IFERROR(VLOOKUP(E26,data!$A:$J,10,FALSE()),"")</f>
        <v/>
      </c>
      <c r="K26" s="3" t="str">
        <f>IFERROR(VLOOKUP(F26,data!$A:$J,10,FALSE()),"")</f>
        <v/>
      </c>
      <c r="L26" s="3" t="str">
        <f t="shared" si="1"/>
        <v>E53_G46</v>
      </c>
    </row>
    <row r="27" ht="15.75" customHeight="1">
      <c r="A27" s="1" t="s">
        <v>50</v>
      </c>
      <c r="B27" s="2" t="s">
        <v>51</v>
      </c>
      <c r="C27" s="3">
        <v>2643743</v>
      </c>
      <c r="G27" s="3" t="str">
        <f>IFERROR(VLOOKUP(B27,data!$A:$J,10,FALSE()),"")</f>
        <v>E53_G36</v>
      </c>
      <c r="H27" s="3" t="str">
        <f>IFERROR(VLOOKUP(C27,data!$A:$J,10,FALSE()),"")</f>
        <v>E53_G107</v>
      </c>
      <c r="I27" s="3" t="str">
        <f>IFERROR(VLOOKUP(D27,data!$A:$J,10,FALSE()),"")</f>
        <v/>
      </c>
      <c r="J27" s="3" t="str">
        <f>IFERROR(VLOOKUP(E27,data!$A:$J,10,FALSE()),"")</f>
        <v/>
      </c>
      <c r="K27" s="3" t="str">
        <f>IFERROR(VLOOKUP(F27,data!$A:$J,10,FALSE()),"")</f>
        <v/>
      </c>
      <c r="L27" s="3" t="str">
        <f t="shared" si="1"/>
        <v xml:space="preserve">E53_G36 E53_G107</v>
      </c>
    </row>
    <row r="28" ht="15.75" customHeight="1">
      <c r="A28" s="1" t="s">
        <v>52</v>
      </c>
      <c r="B28" s="2" t="s">
        <v>53</v>
      </c>
      <c r="G28" s="3" t="str">
        <f>IFERROR(VLOOKUP(B28,data!$A:$J,10,FALSE()),"")</f>
        <v>E53_G179</v>
      </c>
      <c r="H28" s="3" t="str">
        <f>IFERROR(VLOOKUP(C28,data!$A:$J,10,FALSE()),"")</f>
        <v/>
      </c>
      <c r="I28" s="3" t="str">
        <f>IFERROR(VLOOKUP(D28,data!$A:$J,10,FALSE()),"")</f>
        <v/>
      </c>
      <c r="J28" s="3" t="str">
        <f>IFERROR(VLOOKUP(E28,data!$A:$J,10,FALSE()),"")</f>
        <v/>
      </c>
      <c r="K28" s="3" t="str">
        <f>IFERROR(VLOOKUP(F28,data!$A:$J,10,FALSE()),"")</f>
        <v/>
      </c>
      <c r="L28" s="3" t="str">
        <f t="shared" si="1"/>
        <v>E53_G179</v>
      </c>
    </row>
    <row r="29" ht="15.75" customHeight="1">
      <c r="A29" s="1" t="s">
        <v>54</v>
      </c>
      <c r="B29" s="2" t="s">
        <v>55</v>
      </c>
      <c r="G29" s="3" t="str">
        <f>IFERROR(VLOOKUP(B29,data!$A:$J,10,FALSE()),"")</f>
        <v>E53_G126</v>
      </c>
      <c r="H29" s="3" t="str">
        <f>IFERROR(VLOOKUP(C29,data!$A:$J,10,FALSE()),"")</f>
        <v/>
      </c>
      <c r="I29" s="3" t="str">
        <f>IFERROR(VLOOKUP(D29,data!$A:$J,10,FALSE()),"")</f>
        <v/>
      </c>
      <c r="J29" s="3" t="str">
        <f>IFERROR(VLOOKUP(E29,data!$A:$J,10,FALSE()),"")</f>
        <v/>
      </c>
      <c r="K29" s="3" t="str">
        <f>IFERROR(VLOOKUP(F29,data!$A:$J,10,FALSE()),"")</f>
        <v/>
      </c>
      <c r="L29" s="3" t="str">
        <f t="shared" si="1"/>
        <v>E53_G126</v>
      </c>
    </row>
    <row r="30" ht="15.75" customHeight="1">
      <c r="A30" s="1" t="s">
        <v>56</v>
      </c>
      <c r="B30" s="2" t="s">
        <v>57</v>
      </c>
      <c r="G30" s="3" t="str">
        <f>IFERROR(VLOOKUP(B30,data!$A:$J,10,FALSE()),"")</f>
        <v>E53_G123</v>
      </c>
      <c r="H30" s="3" t="str">
        <f>IFERROR(VLOOKUP(C30,data!$A:$J,10,FALSE()),"")</f>
        <v/>
      </c>
      <c r="I30" s="3" t="str">
        <f>IFERROR(VLOOKUP(D30,data!$A:$J,10,FALSE()),"")</f>
        <v/>
      </c>
      <c r="J30" s="3" t="str">
        <f>IFERROR(VLOOKUP(E30,data!$A:$J,10,FALSE()),"")</f>
        <v/>
      </c>
      <c r="K30" s="3" t="str">
        <f>IFERROR(VLOOKUP(F30,data!$A:$J,10,FALSE()),"")</f>
        <v/>
      </c>
      <c r="L30" s="3" t="str">
        <f t="shared" si="1"/>
        <v>E53_G123</v>
      </c>
    </row>
    <row r="31" ht="15.75" customHeight="1">
      <c r="A31" s="1" t="s">
        <v>58</v>
      </c>
      <c r="B31" s="2" t="s">
        <v>59</v>
      </c>
      <c r="G31" s="3" t="str">
        <f>IFERROR(VLOOKUP(B31,data!$A:$J,10,FALSE()),"")</f>
        <v>E53_G172</v>
      </c>
      <c r="H31" s="3" t="str">
        <f>IFERROR(VLOOKUP(C31,data!$A:$J,10,FALSE()),"")</f>
        <v/>
      </c>
      <c r="I31" s="3" t="str">
        <f>IFERROR(VLOOKUP(D31,data!$A:$J,10,FALSE()),"")</f>
        <v/>
      </c>
      <c r="J31" s="3" t="str">
        <f>IFERROR(VLOOKUP(E31,data!$A:$J,10,FALSE()),"")</f>
        <v/>
      </c>
      <c r="K31" s="3" t="str">
        <f>IFERROR(VLOOKUP(F31,data!$A:$J,10,FALSE()),"")</f>
        <v/>
      </c>
      <c r="L31" s="3" t="str">
        <f t="shared" si="1"/>
        <v>E53_G172</v>
      </c>
    </row>
    <row r="32" ht="15.75" customHeight="1">
      <c r="A32" s="1" t="s">
        <v>60</v>
      </c>
      <c r="B32" s="2" t="s">
        <v>61</v>
      </c>
      <c r="G32" s="3" t="str">
        <f>IFERROR(VLOOKUP(B32,data!$A:$J,10,FALSE()),"")</f>
        <v>E53_G150</v>
      </c>
      <c r="H32" s="3" t="str">
        <f>IFERROR(VLOOKUP(C32,data!$A:$J,10,FALSE()),"")</f>
        <v/>
      </c>
      <c r="I32" s="3" t="str">
        <f>IFERROR(VLOOKUP(D32,data!$A:$J,10,FALSE()),"")</f>
        <v/>
      </c>
      <c r="J32" s="3" t="str">
        <f>IFERROR(VLOOKUP(E32,data!$A:$J,10,FALSE()),"")</f>
        <v/>
      </c>
      <c r="K32" s="3" t="str">
        <f>IFERROR(VLOOKUP(F32,data!$A:$J,10,FALSE()),"")</f>
        <v/>
      </c>
      <c r="L32" s="3" t="str">
        <f t="shared" si="1"/>
        <v>E53_G150</v>
      </c>
    </row>
    <row r="33" ht="15.75" customHeight="1">
      <c r="A33" s="1" t="s">
        <v>62</v>
      </c>
      <c r="B33" s="2" t="s">
        <v>63</v>
      </c>
      <c r="G33" s="3" t="str">
        <f>IFERROR(VLOOKUP(B33,data!$A:$J,10,FALSE()),"")</f>
        <v>E53_G1</v>
      </c>
      <c r="H33" s="3" t="str">
        <f>IFERROR(VLOOKUP(C33,data!$A:$J,10,FALSE()),"")</f>
        <v/>
      </c>
      <c r="I33" s="3" t="str">
        <f>IFERROR(VLOOKUP(D33,data!$A:$J,10,FALSE()),"")</f>
        <v/>
      </c>
      <c r="J33" s="3" t="str">
        <f>IFERROR(VLOOKUP(E33,data!$A:$J,10,FALSE()),"")</f>
        <v/>
      </c>
      <c r="K33" s="3" t="str">
        <f>IFERROR(VLOOKUP(F33,data!$A:$J,10,FALSE()),"")</f>
        <v/>
      </c>
      <c r="L33" s="3" t="str">
        <f t="shared" si="1"/>
        <v>E53_G1</v>
      </c>
    </row>
    <row r="34" ht="15.75" customHeight="1">
      <c r="A34" s="1" t="s">
        <v>64</v>
      </c>
      <c r="B34" s="2" t="s">
        <v>65</v>
      </c>
      <c r="G34" s="3" t="str">
        <f>IFERROR(VLOOKUP(B34,data!$A:$J,10,FALSE()),"")</f>
        <v>E53_G0</v>
      </c>
      <c r="H34" s="3" t="str">
        <f>IFERROR(VLOOKUP(C34,data!$A:$J,10,FALSE()),"")</f>
        <v/>
      </c>
      <c r="I34" s="3" t="str">
        <f>IFERROR(VLOOKUP(D34,data!$A:$J,10,FALSE()),"")</f>
        <v/>
      </c>
      <c r="J34" s="3" t="str">
        <f>IFERROR(VLOOKUP(E34,data!$A:$J,10,FALSE()),"")</f>
        <v/>
      </c>
      <c r="K34" s="3" t="str">
        <f>IFERROR(VLOOKUP(F34,data!$A:$J,10,FALSE()),"")</f>
        <v/>
      </c>
      <c r="L34" s="3" t="str">
        <f t="shared" si="1"/>
        <v>E53_G0</v>
      </c>
    </row>
    <row r="35" ht="15.75" customHeight="1">
      <c r="A35" s="1" t="s">
        <v>66</v>
      </c>
      <c r="B35" s="2" t="s">
        <v>11</v>
      </c>
      <c r="G35" s="3" t="str">
        <f>IFERROR(VLOOKUP(B35,data!$A:$J,10,FALSE()),"")</f>
        <v>E53_G218</v>
      </c>
      <c r="H35" s="3" t="str">
        <f>IFERROR(VLOOKUP(C35,data!$A:$J,10,FALSE()),"")</f>
        <v/>
      </c>
      <c r="I35" s="3" t="str">
        <f>IFERROR(VLOOKUP(D35,data!$A:$J,10,FALSE()),"")</f>
        <v/>
      </c>
      <c r="J35" s="3" t="str">
        <f>IFERROR(VLOOKUP(E35,data!$A:$J,10,FALSE()),"")</f>
        <v/>
      </c>
      <c r="K35" s="3" t="str">
        <f>IFERROR(VLOOKUP(F35,data!$A:$J,10,FALSE()),"")</f>
        <v/>
      </c>
      <c r="L35" s="3" t="str">
        <f t="shared" si="1"/>
        <v>E53_G218</v>
      </c>
    </row>
    <row r="36" ht="15.75" customHeight="1">
      <c r="A36" s="1" t="s">
        <v>67</v>
      </c>
      <c r="B36" s="2" t="s">
        <v>68</v>
      </c>
      <c r="G36" s="3" t="str">
        <f>IFERROR(VLOOKUP(B36,data!$A:$J,10,FALSE()),"")</f>
        <v>E53_G117</v>
      </c>
      <c r="H36" s="3" t="str">
        <f>IFERROR(VLOOKUP(C36,data!$A:$J,10,FALSE()),"")</f>
        <v/>
      </c>
      <c r="I36" s="3" t="str">
        <f>IFERROR(VLOOKUP(D36,data!$A:$J,10,FALSE()),"")</f>
        <v/>
      </c>
      <c r="J36" s="3" t="str">
        <f>IFERROR(VLOOKUP(E36,data!$A:$J,10,FALSE()),"")</f>
        <v/>
      </c>
      <c r="K36" s="3" t="str">
        <f>IFERROR(VLOOKUP(F36,data!$A:$J,10,FALSE()),"")</f>
        <v/>
      </c>
      <c r="L36" s="3" t="str">
        <f t="shared" si="1"/>
        <v>E53_G117</v>
      </c>
    </row>
    <row r="37" ht="15.75" customHeight="1">
      <c r="A37" s="1" t="s">
        <v>69</v>
      </c>
      <c r="B37" s="2" t="s">
        <v>70</v>
      </c>
      <c r="G37" s="3" t="str">
        <f>IFERROR(VLOOKUP(B37,data!$A:$J,10,FALSE()),"")</f>
        <v>E53_G108</v>
      </c>
      <c r="H37" s="3" t="str">
        <f>IFERROR(VLOOKUP(C37,data!$A:$J,10,FALSE()),"")</f>
        <v/>
      </c>
      <c r="I37" s="3" t="str">
        <f>IFERROR(VLOOKUP(D37,data!$A:$J,10,FALSE()),"")</f>
        <v/>
      </c>
      <c r="J37" s="3" t="str">
        <f>IFERROR(VLOOKUP(E37,data!$A:$J,10,FALSE()),"")</f>
        <v/>
      </c>
      <c r="K37" s="3" t="str">
        <f>IFERROR(VLOOKUP(F37,data!$A:$J,10,FALSE()),"")</f>
        <v/>
      </c>
      <c r="L37" s="3" t="str">
        <f t="shared" si="1"/>
        <v>E53_G108</v>
      </c>
    </row>
    <row r="38" ht="15.75" customHeight="1">
      <c r="A38" s="1" t="s">
        <v>71</v>
      </c>
      <c r="B38" s="2" t="s">
        <v>72</v>
      </c>
      <c r="G38" s="3" t="str">
        <f>IFERROR(VLOOKUP(B38,data!$A:$J,10,FALSE()),"")</f>
        <v>E53_G127</v>
      </c>
      <c r="H38" s="3" t="str">
        <f>IFERROR(VLOOKUP(C38,data!$A:$J,10,FALSE()),"")</f>
        <v/>
      </c>
      <c r="I38" s="3" t="str">
        <f>IFERROR(VLOOKUP(D38,data!$A:$J,10,FALSE()),"")</f>
        <v/>
      </c>
      <c r="J38" s="3" t="str">
        <f>IFERROR(VLOOKUP(E38,data!$A:$J,10,FALSE()),"")</f>
        <v/>
      </c>
      <c r="K38" s="3" t="str">
        <f>IFERROR(VLOOKUP(F38,data!$A:$J,10,FALSE()),"")</f>
        <v/>
      </c>
      <c r="L38" s="3" t="str">
        <f t="shared" si="1"/>
        <v>E53_G127</v>
      </c>
    </row>
    <row r="39" ht="15.75" customHeight="1">
      <c r="A39" s="1" t="s">
        <v>73</v>
      </c>
      <c r="B39" s="2" t="s">
        <v>74</v>
      </c>
      <c r="G39" s="3" t="str">
        <f>IFERROR(VLOOKUP(B39,data!$A:$J,10,FALSE()),"")</f>
        <v>E53_G135</v>
      </c>
      <c r="H39" s="3" t="str">
        <f>IFERROR(VLOOKUP(C39,data!$A:$J,10,FALSE()),"")</f>
        <v/>
      </c>
      <c r="I39" s="3" t="str">
        <f>IFERROR(VLOOKUP(D39,data!$A:$J,10,FALSE()),"")</f>
        <v/>
      </c>
      <c r="J39" s="3" t="str">
        <f>IFERROR(VLOOKUP(E39,data!$A:$J,10,FALSE()),"")</f>
        <v/>
      </c>
      <c r="K39" s="3" t="str">
        <f>IFERROR(VLOOKUP(F39,data!$A:$J,10,FALSE()),"")</f>
        <v/>
      </c>
      <c r="L39" s="3" t="str">
        <f t="shared" si="1"/>
        <v>E53_G135</v>
      </c>
    </row>
    <row r="40" ht="15.75" customHeight="1">
      <c r="A40" s="1" t="s">
        <v>75</v>
      </c>
      <c r="B40" s="2" t="s">
        <v>76</v>
      </c>
      <c r="G40" s="3" t="str">
        <f>IFERROR(VLOOKUP(B40,data!$A:$J,10,FALSE()),"")</f>
        <v>E53_G47</v>
      </c>
      <c r="H40" s="3" t="str">
        <f>IFERROR(VLOOKUP(C40,data!$A:$J,10,FALSE()),"")</f>
        <v/>
      </c>
      <c r="I40" s="3" t="str">
        <f>IFERROR(VLOOKUP(D40,data!$A:$J,10,FALSE()),"")</f>
        <v/>
      </c>
      <c r="J40" s="3" t="str">
        <f>IFERROR(VLOOKUP(E40,data!$A:$J,10,FALSE()),"")</f>
        <v/>
      </c>
      <c r="K40" s="3" t="str">
        <f>IFERROR(VLOOKUP(F40,data!$A:$J,10,FALSE()),"")</f>
        <v/>
      </c>
      <c r="L40" s="3" t="str">
        <f t="shared" si="1"/>
        <v>E53_G47</v>
      </c>
    </row>
    <row r="41" ht="15.75" customHeight="1">
      <c r="A41" s="1" t="s">
        <v>77</v>
      </c>
      <c r="B41" s="2" t="s">
        <v>23</v>
      </c>
      <c r="G41" s="3" t="str">
        <f>IFERROR(VLOOKUP(B41,data!$A:$J,10,FALSE()),"")</f>
        <v>E53_G148</v>
      </c>
      <c r="H41" s="3" t="str">
        <f>IFERROR(VLOOKUP(C41,data!$A:$J,10,FALSE()),"")</f>
        <v/>
      </c>
      <c r="I41" s="3" t="str">
        <f>IFERROR(VLOOKUP(D41,data!$A:$J,10,FALSE()),"")</f>
        <v/>
      </c>
      <c r="J41" s="3" t="str">
        <f>IFERROR(VLOOKUP(E41,data!$A:$J,10,FALSE()),"")</f>
        <v/>
      </c>
      <c r="K41" s="3" t="str">
        <f>IFERROR(VLOOKUP(F41,data!$A:$J,10,FALSE()),"")</f>
        <v/>
      </c>
      <c r="L41" s="3" t="str">
        <f t="shared" si="1"/>
        <v>E53_G148</v>
      </c>
    </row>
    <row r="42" ht="15.75" customHeight="1">
      <c r="A42" s="1" t="s">
        <v>78</v>
      </c>
      <c r="B42" s="2" t="s">
        <v>79</v>
      </c>
      <c r="G42" s="3" t="str">
        <f>IFERROR(VLOOKUP(B42,data!$A:$J,10,FALSE()),"")</f>
        <v>E53_G53</v>
      </c>
      <c r="H42" s="3" t="str">
        <f>IFERROR(VLOOKUP(C42,data!$A:$J,10,FALSE()),"")</f>
        <v/>
      </c>
      <c r="I42" s="3" t="str">
        <f>IFERROR(VLOOKUP(D42,data!$A:$J,10,FALSE()),"")</f>
        <v/>
      </c>
      <c r="J42" s="3" t="str">
        <f>IFERROR(VLOOKUP(E42,data!$A:$J,10,FALSE()),"")</f>
        <v/>
      </c>
      <c r="K42" s="3" t="str">
        <f>IFERROR(VLOOKUP(F42,data!$A:$J,10,FALSE()),"")</f>
        <v/>
      </c>
      <c r="L42" s="3" t="str">
        <f t="shared" si="1"/>
        <v>E53_G53</v>
      </c>
    </row>
    <row r="43" ht="15.75" customHeight="1">
      <c r="A43" s="1" t="s">
        <v>80</v>
      </c>
      <c r="B43" s="2" t="s">
        <v>11</v>
      </c>
      <c r="C43" s="3">
        <v>4887398</v>
      </c>
      <c r="D43" s="3">
        <v>2147714</v>
      </c>
      <c r="E43" s="3">
        <v>2935517</v>
      </c>
      <c r="F43" s="3">
        <v>2988507</v>
      </c>
      <c r="G43" s="3" t="str">
        <f>IFERROR(VLOOKUP(B43,data!$A:$J,10,FALSE()),"")</f>
        <v>E53_G218</v>
      </c>
      <c r="H43" s="3" t="str">
        <f>IFERROR(VLOOKUP(C43,data!$A:$J,10,FALSE()),"")</f>
        <v>E53_G40</v>
      </c>
      <c r="I43" s="3" t="str">
        <f>IFERROR(VLOOKUP(D43,data!$A:$J,10,FALSE()),"")</f>
        <v>E53_G188</v>
      </c>
      <c r="J43" s="3" t="str">
        <f>IFERROR(VLOOKUP(E43,data!$A:$J,10,FALSE()),"")</f>
        <v>E53_G52</v>
      </c>
      <c r="K43" s="3" t="str">
        <f>IFERROR(VLOOKUP(F43,data!$A:$J,10,FALSE()),"")</f>
        <v>E53_G148</v>
      </c>
      <c r="L43" s="3" t="str">
        <f t="shared" si="1"/>
        <v xml:space="preserve">E53_G218 E53_G40 E53_G188 E53_G52 E53_G148</v>
      </c>
    </row>
    <row r="44" ht="15.75" customHeight="1">
      <c r="A44" s="1" t="s">
        <v>81</v>
      </c>
      <c r="B44" s="2" t="s">
        <v>82</v>
      </c>
      <c r="G44" s="3" t="str">
        <f>IFERROR(VLOOKUP(B44,data!$A:$J,10,FALSE()),"")</f>
        <v>E53_G195</v>
      </c>
      <c r="H44" s="3" t="str">
        <f>IFERROR(VLOOKUP(C44,data!$A:$J,10,FALSE()),"")</f>
        <v/>
      </c>
      <c r="I44" s="3" t="str">
        <f>IFERROR(VLOOKUP(D44,data!$A:$J,10,FALSE()),"")</f>
        <v/>
      </c>
      <c r="J44" s="3" t="str">
        <f>IFERROR(VLOOKUP(E44,data!$A:$J,10,FALSE()),"")</f>
        <v/>
      </c>
      <c r="K44" s="3" t="str">
        <f>IFERROR(VLOOKUP(F44,data!$A:$J,10,FALSE()),"")</f>
        <v/>
      </c>
      <c r="L44" s="3" t="str">
        <f t="shared" si="1"/>
        <v>E53_G195</v>
      </c>
    </row>
    <row r="45" ht="15.75" customHeight="1">
      <c r="A45" s="1" t="s">
        <v>83</v>
      </c>
      <c r="B45" s="2" t="s">
        <v>23</v>
      </c>
      <c r="G45" s="3" t="str">
        <f>IFERROR(VLOOKUP(B45,data!$A:$J,10,FALSE()),"")</f>
        <v>E53_G148</v>
      </c>
      <c r="H45" s="3" t="str">
        <f>IFERROR(VLOOKUP(C45,data!$A:$J,10,FALSE()),"")</f>
        <v/>
      </c>
      <c r="I45" s="3" t="str">
        <f>IFERROR(VLOOKUP(D45,data!$A:$J,10,FALSE()),"")</f>
        <v/>
      </c>
      <c r="J45" s="3" t="str">
        <f>IFERROR(VLOOKUP(E45,data!$A:$J,10,FALSE()),"")</f>
        <v/>
      </c>
      <c r="K45" s="3" t="str">
        <f>IFERROR(VLOOKUP(F45,data!$A:$J,10,FALSE()),"")</f>
        <v/>
      </c>
      <c r="L45" s="3" t="str">
        <f t="shared" si="1"/>
        <v>E53_G148</v>
      </c>
    </row>
    <row r="46" ht="15.75" customHeight="1">
      <c r="A46" s="1" t="s">
        <v>84</v>
      </c>
      <c r="B46" s="2" t="s">
        <v>85</v>
      </c>
      <c r="G46" s="3" t="str">
        <f>IFERROR(VLOOKUP(B46,data!$A:$J,10,FALSE()),"")</f>
        <v>E53_G160</v>
      </c>
      <c r="H46" s="3" t="str">
        <f>IFERROR(VLOOKUP(C46,data!$A:$J,10,FALSE()),"")</f>
        <v/>
      </c>
      <c r="I46" s="3" t="str">
        <f>IFERROR(VLOOKUP(D46,data!$A:$J,10,FALSE()),"")</f>
        <v/>
      </c>
      <c r="J46" s="3" t="str">
        <f>IFERROR(VLOOKUP(E46,data!$A:$J,10,FALSE()),"")</f>
        <v/>
      </c>
      <c r="K46" s="3" t="str">
        <f>IFERROR(VLOOKUP(F46,data!$A:$J,10,FALSE()),"")</f>
        <v/>
      </c>
      <c r="L46" s="3" t="str">
        <f t="shared" si="1"/>
        <v>E53_G160</v>
      </c>
    </row>
    <row r="47" ht="15.75" customHeight="1">
      <c r="A47" s="1" t="s">
        <v>86</v>
      </c>
      <c r="B47" s="2" t="s">
        <v>87</v>
      </c>
      <c r="G47" s="3" t="str">
        <f>IFERROR(VLOOKUP(B47,data!$A:$J,10,FALSE()),"")</f>
        <v>E53_G214</v>
      </c>
      <c r="H47" s="3" t="str">
        <f>IFERROR(VLOOKUP(C47,data!$A:$J,10,FALSE()),"")</f>
        <v/>
      </c>
      <c r="I47" s="3" t="str">
        <f>IFERROR(VLOOKUP(D47,data!$A:$J,10,FALSE()),"")</f>
        <v/>
      </c>
      <c r="J47" s="3" t="str">
        <f>IFERROR(VLOOKUP(E47,data!$A:$J,10,FALSE()),"")</f>
        <v/>
      </c>
      <c r="K47" s="3" t="str">
        <f>IFERROR(VLOOKUP(F47,data!$A:$J,10,FALSE()),"")</f>
        <v/>
      </c>
      <c r="L47" s="3" t="str">
        <f t="shared" si="1"/>
        <v>E53_G214</v>
      </c>
    </row>
    <row r="48" ht="15.75" customHeight="1">
      <c r="A48" s="1" t="s">
        <v>88</v>
      </c>
      <c r="B48" s="2" t="s">
        <v>89</v>
      </c>
      <c r="G48" s="3" t="str">
        <f>IFERROR(VLOOKUP(B48,data!$A:$J,10,FALSE()),"")</f>
        <v>E53_G30</v>
      </c>
      <c r="H48" s="3" t="str">
        <f>IFERROR(VLOOKUP(C48,data!$A:$J,10,FALSE()),"")</f>
        <v/>
      </c>
      <c r="I48" s="3" t="str">
        <f>IFERROR(VLOOKUP(D48,data!$A:$J,10,FALSE()),"")</f>
        <v/>
      </c>
      <c r="J48" s="3" t="str">
        <f>IFERROR(VLOOKUP(E48,data!$A:$J,10,FALSE()),"")</f>
        <v/>
      </c>
      <c r="K48" s="3" t="str">
        <f>IFERROR(VLOOKUP(F48,data!$A:$J,10,FALSE()),"")</f>
        <v/>
      </c>
      <c r="L48" s="3" t="str">
        <f t="shared" si="1"/>
        <v>E53_G30</v>
      </c>
    </row>
    <row r="49" ht="15.75" customHeight="1">
      <c r="A49" s="1" t="s">
        <v>90</v>
      </c>
      <c r="B49" s="2" t="s">
        <v>91</v>
      </c>
      <c r="G49" s="3" t="str">
        <f>IFERROR(VLOOKUP(B49,data!$A:$J,10,FALSE()),"")</f>
        <v>E53_G40</v>
      </c>
      <c r="H49" s="3" t="str">
        <f>IFERROR(VLOOKUP(C49,data!$A:$J,10,FALSE()),"")</f>
        <v/>
      </c>
      <c r="I49" s="3" t="str">
        <f>IFERROR(VLOOKUP(D49,data!$A:$J,10,FALSE()),"")</f>
        <v/>
      </c>
      <c r="J49" s="3" t="str">
        <f>IFERROR(VLOOKUP(E49,data!$A:$J,10,FALSE()),"")</f>
        <v/>
      </c>
      <c r="K49" s="3" t="str">
        <f>IFERROR(VLOOKUP(F49,data!$A:$J,10,FALSE()),"")</f>
        <v/>
      </c>
      <c r="L49" s="3" t="str">
        <f t="shared" si="1"/>
        <v>E53_G40</v>
      </c>
    </row>
    <row r="50" ht="15.75" customHeight="1">
      <c r="A50" s="1" t="s">
        <v>92</v>
      </c>
      <c r="B50" s="2" t="s">
        <v>93</v>
      </c>
      <c r="G50" s="3" t="str">
        <f>IFERROR(VLOOKUP(B50,data!$A:$J,10,FALSE()),"")</f>
        <v>E53_G5</v>
      </c>
      <c r="H50" s="3" t="str">
        <f>IFERROR(VLOOKUP(C50,data!$A:$J,10,FALSE()),"")</f>
        <v/>
      </c>
      <c r="I50" s="3" t="str">
        <f>IFERROR(VLOOKUP(D50,data!$A:$J,10,FALSE()),"")</f>
        <v/>
      </c>
      <c r="J50" s="3" t="str">
        <f>IFERROR(VLOOKUP(E50,data!$A:$J,10,FALSE()),"")</f>
        <v/>
      </c>
      <c r="K50" s="3" t="str">
        <f>IFERROR(VLOOKUP(F50,data!$A:$J,10,FALSE()),"")</f>
        <v/>
      </c>
      <c r="L50" s="3" t="str">
        <f t="shared" si="1"/>
        <v>E53_G5</v>
      </c>
    </row>
    <row r="51" ht="15.75" customHeight="1">
      <c r="A51" s="1" t="s">
        <v>94</v>
      </c>
      <c r="B51" s="2" t="s">
        <v>95</v>
      </c>
      <c r="G51" s="3" t="str">
        <f>IFERROR(VLOOKUP(B51,data!$A:$J,10,FALSE()),"")</f>
        <v>E53_G6</v>
      </c>
      <c r="H51" s="3" t="str">
        <f>IFERROR(VLOOKUP(C51,data!$A:$J,10,FALSE()),"")</f>
        <v/>
      </c>
      <c r="I51" s="3" t="str">
        <f>IFERROR(VLOOKUP(D51,data!$A:$J,10,FALSE()),"")</f>
        <v/>
      </c>
      <c r="J51" s="3" t="str">
        <f>IFERROR(VLOOKUP(E51,data!$A:$J,10,FALSE()),"")</f>
        <v/>
      </c>
      <c r="K51" s="3" t="str">
        <f>IFERROR(VLOOKUP(F51,data!$A:$J,10,FALSE()),"")</f>
        <v/>
      </c>
      <c r="L51" s="3" t="str">
        <f t="shared" si="1"/>
        <v>E53_G6</v>
      </c>
    </row>
    <row r="52" ht="15.75" customHeight="1">
      <c r="A52" s="1" t="s">
        <v>96</v>
      </c>
      <c r="B52" s="2" t="s">
        <v>97</v>
      </c>
      <c r="G52" s="3" t="str">
        <f>IFERROR(VLOOKUP(B52,data!$A:$J,10,FALSE()),"")</f>
        <v>E53_G98</v>
      </c>
      <c r="H52" s="3" t="str">
        <f>IFERROR(VLOOKUP(C52,data!$A:$J,10,FALSE()),"")</f>
        <v/>
      </c>
      <c r="I52" s="3" t="str">
        <f>IFERROR(VLOOKUP(D52,data!$A:$J,10,FALSE()),"")</f>
        <v/>
      </c>
      <c r="J52" s="3" t="str">
        <f>IFERROR(VLOOKUP(E52,data!$A:$J,10,FALSE()),"")</f>
        <v/>
      </c>
      <c r="K52" s="3" t="str">
        <f>IFERROR(VLOOKUP(F52,data!$A:$J,10,FALSE()),"")</f>
        <v/>
      </c>
      <c r="L52" s="3" t="str">
        <f t="shared" si="1"/>
        <v>E53_G98</v>
      </c>
    </row>
    <row r="53" ht="15.75" customHeight="1">
      <c r="A53" s="1" t="s">
        <v>98</v>
      </c>
      <c r="B53" s="2" t="s">
        <v>99</v>
      </c>
      <c r="G53" s="3" t="str">
        <f>IFERROR(VLOOKUP(B53,data!$A:$J,10,FALSE()),"")</f>
        <v>E53_G199</v>
      </c>
      <c r="H53" s="3" t="str">
        <f>IFERROR(VLOOKUP(C53,data!$A:$J,10,FALSE()),"")</f>
        <v/>
      </c>
      <c r="I53" s="3" t="str">
        <f>IFERROR(VLOOKUP(D53,data!$A:$J,10,FALSE()),"")</f>
        <v/>
      </c>
      <c r="J53" s="3" t="str">
        <f>IFERROR(VLOOKUP(E53,data!$A:$J,10,FALSE()),"")</f>
        <v/>
      </c>
      <c r="K53" s="3" t="str">
        <f>IFERROR(VLOOKUP(F53,data!$A:$J,10,FALSE()),"")</f>
        <v/>
      </c>
      <c r="L53" s="3" t="str">
        <f t="shared" si="1"/>
        <v>E53_G199</v>
      </c>
    </row>
    <row r="54" ht="15.75" customHeight="1">
      <c r="A54" s="1" t="s">
        <v>100</v>
      </c>
      <c r="B54" s="2" t="s">
        <v>101</v>
      </c>
      <c r="G54" s="3" t="str">
        <f>IFERROR(VLOOKUP(B54,data!$A:$J,10,FALSE()),"")</f>
        <v>E53_G163</v>
      </c>
      <c r="H54" s="3" t="str">
        <f>IFERROR(VLOOKUP(C54,data!$A:$J,10,FALSE()),"")</f>
        <v/>
      </c>
      <c r="I54" s="3" t="str">
        <f>IFERROR(VLOOKUP(D54,data!$A:$J,10,FALSE()),"")</f>
        <v/>
      </c>
      <c r="J54" s="3" t="str">
        <f>IFERROR(VLOOKUP(E54,data!$A:$J,10,FALSE()),"")</f>
        <v/>
      </c>
      <c r="K54" s="3" t="str">
        <f>IFERROR(VLOOKUP(F54,data!$A:$J,10,FALSE()),"")</f>
        <v/>
      </c>
      <c r="L54" s="3" t="str">
        <f t="shared" si="1"/>
        <v>E53_G163</v>
      </c>
    </row>
    <row r="55" ht="15.75" customHeight="1">
      <c r="A55" s="1" t="s">
        <v>102</v>
      </c>
      <c r="B55" s="2" t="s">
        <v>103</v>
      </c>
      <c r="G55" s="3" t="str">
        <f>IFERROR(VLOOKUP(B55,data!$A:$J,10,FALSE()),"")</f>
        <v>E53_G110</v>
      </c>
      <c r="H55" s="3" t="str">
        <f>IFERROR(VLOOKUP(C55,data!$A:$J,10,FALSE()),"")</f>
        <v/>
      </c>
      <c r="I55" s="3" t="str">
        <f>IFERROR(VLOOKUP(D55,data!$A:$J,10,FALSE()),"")</f>
        <v/>
      </c>
      <c r="J55" s="3" t="str">
        <f>IFERROR(VLOOKUP(E55,data!$A:$J,10,FALSE()),"")</f>
        <v/>
      </c>
      <c r="K55" s="3" t="str">
        <f>IFERROR(VLOOKUP(F55,data!$A:$J,10,FALSE()),"")</f>
        <v/>
      </c>
      <c r="L55" s="3" t="str">
        <f t="shared" si="1"/>
        <v>E53_G110</v>
      </c>
    </row>
    <row r="56" ht="15.75" customHeight="1">
      <c r="A56" s="1" t="s">
        <v>104</v>
      </c>
      <c r="B56" s="2" t="s">
        <v>105</v>
      </c>
      <c r="G56" s="3" t="str">
        <f>IFERROR(VLOOKUP(B56,data!$A:$J,10,FALSE()),"")</f>
        <v>E53_G100</v>
      </c>
      <c r="H56" s="3" t="str">
        <f>IFERROR(VLOOKUP(C56,data!$A:$J,10,FALSE()),"")</f>
        <v/>
      </c>
      <c r="I56" s="3" t="str">
        <f>IFERROR(VLOOKUP(D56,data!$A:$J,10,FALSE()),"")</f>
        <v/>
      </c>
      <c r="J56" s="3" t="str">
        <f>IFERROR(VLOOKUP(E56,data!$A:$J,10,FALSE()),"")</f>
        <v/>
      </c>
      <c r="K56" s="3" t="str">
        <f>IFERROR(VLOOKUP(F56,data!$A:$J,10,FALSE()),"")</f>
        <v/>
      </c>
      <c r="L56" s="3" t="str">
        <f t="shared" si="1"/>
        <v>E53_G100</v>
      </c>
    </row>
    <row r="57" ht="15.75" customHeight="1">
      <c r="A57" s="1" t="s">
        <v>106</v>
      </c>
      <c r="B57" s="2" t="s">
        <v>107</v>
      </c>
      <c r="G57" s="3" t="str">
        <f>IFERROR(VLOOKUP(B57,data!$A:$J,10,FALSE()),"")</f>
        <v>E53_G193</v>
      </c>
      <c r="H57" s="3" t="str">
        <f>IFERROR(VLOOKUP(C57,data!$A:$J,10,FALSE()),"")</f>
        <v/>
      </c>
      <c r="I57" s="3" t="str">
        <f>IFERROR(VLOOKUP(D57,data!$A:$J,10,FALSE()),"")</f>
        <v/>
      </c>
      <c r="J57" s="3" t="str">
        <f>IFERROR(VLOOKUP(E57,data!$A:$J,10,FALSE()),"")</f>
        <v/>
      </c>
      <c r="K57" s="3" t="str">
        <f>IFERROR(VLOOKUP(F57,data!$A:$J,10,FALSE()),"")</f>
        <v/>
      </c>
      <c r="L57" s="3" t="str">
        <f t="shared" si="1"/>
        <v>E53_G193</v>
      </c>
    </row>
    <row r="58" ht="15.75" customHeight="1">
      <c r="A58" s="1" t="s">
        <v>108</v>
      </c>
      <c r="B58" s="2" t="s">
        <v>91</v>
      </c>
      <c r="G58" s="3" t="str">
        <f>IFERROR(VLOOKUP(B58,data!$A:$J,10,FALSE()),"")</f>
        <v>E53_G40</v>
      </c>
      <c r="H58" s="3" t="str">
        <f>IFERROR(VLOOKUP(C58,data!$A:$J,10,FALSE()),"")</f>
        <v/>
      </c>
      <c r="I58" s="3" t="str">
        <f>IFERROR(VLOOKUP(D58,data!$A:$J,10,FALSE()),"")</f>
        <v/>
      </c>
      <c r="J58" s="3" t="str">
        <f>IFERROR(VLOOKUP(E58,data!$A:$J,10,FALSE()),"")</f>
        <v/>
      </c>
      <c r="K58" s="3" t="str">
        <f>IFERROR(VLOOKUP(F58,data!$A:$J,10,FALSE()),"")</f>
        <v/>
      </c>
      <c r="L58" s="3" t="str">
        <f t="shared" si="1"/>
        <v>E53_G40</v>
      </c>
    </row>
    <row r="59" ht="15.75" customHeight="1">
      <c r="A59" s="1" t="s">
        <v>109</v>
      </c>
      <c r="B59" s="2" t="s">
        <v>110</v>
      </c>
      <c r="C59" s="3"/>
      <c r="G59" s="3" t="str">
        <f>IFERROR(VLOOKUP(B59,data!$A:$J,10,FALSE()),"")</f>
        <v>E53_G7</v>
      </c>
      <c r="H59" s="3" t="str">
        <f>IFERROR(VLOOKUP(C59,data!$A:$J,10,FALSE()),"")</f>
        <v/>
      </c>
      <c r="I59" s="3" t="str">
        <f>IFERROR(VLOOKUP(D59,data!$A:$J,10,FALSE()),"")</f>
        <v/>
      </c>
      <c r="J59" s="3" t="str">
        <f>IFERROR(VLOOKUP(E59,data!$A:$J,10,FALSE()),"")</f>
        <v/>
      </c>
      <c r="K59" s="3" t="str">
        <f>IFERROR(VLOOKUP(F59,data!$A:$J,10,FALSE()),"")</f>
        <v/>
      </c>
      <c r="L59" s="3" t="str">
        <f t="shared" si="1"/>
        <v>E53_G7</v>
      </c>
    </row>
    <row r="60" ht="15.75" customHeight="1">
      <c r="A60" s="1" t="s">
        <v>111</v>
      </c>
      <c r="B60" s="2" t="s">
        <v>112</v>
      </c>
      <c r="C60" s="3"/>
      <c r="G60" s="3" t="str">
        <f>IFERROR(VLOOKUP(B60,data!$A:$J,10,FALSE()),"")</f>
        <v>E53_G9</v>
      </c>
      <c r="H60" s="3" t="str">
        <f>IFERROR(VLOOKUP(C60,data!$A:$J,10,FALSE()),"")</f>
        <v/>
      </c>
      <c r="I60" s="3" t="str">
        <f>IFERROR(VLOOKUP(D60,data!$A:$J,10,FALSE()),"")</f>
        <v/>
      </c>
      <c r="J60" s="3" t="str">
        <f>IFERROR(VLOOKUP(E60,data!$A:$J,10,FALSE()),"")</f>
        <v/>
      </c>
      <c r="K60" s="3" t="str">
        <f>IFERROR(VLOOKUP(F60,data!$A:$J,10,FALSE()),"")</f>
        <v/>
      </c>
      <c r="L60" s="3" t="str">
        <f t="shared" si="1"/>
        <v>E53_G9</v>
      </c>
    </row>
    <row r="61" ht="15.75" customHeight="1">
      <c r="A61" s="1" t="s">
        <v>113</v>
      </c>
      <c r="B61" s="2" t="s">
        <v>114</v>
      </c>
      <c r="C61" s="3">
        <v>2643743</v>
      </c>
      <c r="G61" s="3" t="str">
        <f>IFERROR(VLOOKUP(B61,data!$A:$J,10,FALSE()),"")</f>
        <v>E53_G10</v>
      </c>
      <c r="H61" s="3" t="str">
        <f>IFERROR(VLOOKUP(C61,data!$A:$J,10,FALSE()),"")</f>
        <v>E53_G107</v>
      </c>
      <c r="I61" s="3" t="str">
        <f>IFERROR(VLOOKUP(D61,data!$A:$J,10,FALSE()),"")</f>
        <v/>
      </c>
      <c r="J61" s="3" t="str">
        <f>IFERROR(VLOOKUP(E61,data!$A:$J,10,FALSE()),"")</f>
        <v/>
      </c>
      <c r="K61" s="3" t="str">
        <f>IFERROR(VLOOKUP(F61,data!$A:$J,10,FALSE()),"")</f>
        <v/>
      </c>
      <c r="L61" s="3" t="str">
        <f t="shared" si="1"/>
        <v xml:space="preserve">E53_G10 E53_G107</v>
      </c>
    </row>
    <row r="62" ht="15.75" customHeight="1">
      <c r="A62" s="1" t="s">
        <v>115</v>
      </c>
      <c r="B62" s="2" t="s">
        <v>116</v>
      </c>
      <c r="C62" s="3"/>
      <c r="G62" s="3" t="str">
        <f>IFERROR(VLOOKUP(B62,data!$A:$J,10,FALSE()),"")</f>
        <v>E53_G12</v>
      </c>
      <c r="H62" s="3" t="str">
        <f>IFERROR(VLOOKUP(C62,data!$A:$J,10,FALSE()),"")</f>
        <v/>
      </c>
      <c r="I62" s="3" t="str">
        <f>IFERROR(VLOOKUP(D62,data!$A:$J,10,FALSE()),"")</f>
        <v/>
      </c>
      <c r="J62" s="3" t="str">
        <f>IFERROR(VLOOKUP(E62,data!$A:$J,10,FALSE()),"")</f>
        <v/>
      </c>
      <c r="K62" s="3" t="str">
        <f>IFERROR(VLOOKUP(F62,data!$A:$J,10,FALSE()),"")</f>
        <v/>
      </c>
      <c r="L62" s="3" t="str">
        <f t="shared" si="1"/>
        <v>E53_G12</v>
      </c>
    </row>
    <row r="63" ht="15.75" customHeight="1">
      <c r="A63" s="1" t="s">
        <v>117</v>
      </c>
      <c r="B63" s="2" t="s">
        <v>118</v>
      </c>
      <c r="C63" s="3"/>
      <c r="G63" s="3" t="str">
        <f>IFERROR(VLOOKUP(B63,data!$A:$J,10,FALSE()),"")</f>
        <v>E53_G13</v>
      </c>
      <c r="H63" s="3" t="str">
        <f>IFERROR(VLOOKUP(C63,data!$A:$J,10,FALSE()),"")</f>
        <v/>
      </c>
      <c r="I63" s="3" t="str">
        <f>IFERROR(VLOOKUP(D63,data!$A:$J,10,FALSE()),"")</f>
        <v/>
      </c>
      <c r="J63" s="3" t="str">
        <f>IFERROR(VLOOKUP(E63,data!$A:$J,10,FALSE()),"")</f>
        <v/>
      </c>
      <c r="K63" s="3" t="str">
        <f>IFERROR(VLOOKUP(F63,data!$A:$J,10,FALSE()),"")</f>
        <v/>
      </c>
      <c r="L63" s="3" t="str">
        <f t="shared" si="1"/>
        <v>E53_G13</v>
      </c>
    </row>
    <row r="64" ht="15.75" customHeight="1">
      <c r="A64" s="1" t="s">
        <v>119</v>
      </c>
      <c r="B64" s="2" t="s">
        <v>120</v>
      </c>
      <c r="C64" s="3"/>
      <c r="G64" s="3" t="str">
        <f>IFERROR(VLOOKUP(B64,data!$A:$J,10,FALSE()),"")</f>
        <v>E53_G15</v>
      </c>
      <c r="H64" s="3" t="str">
        <f>IFERROR(VLOOKUP(C64,data!$A:$J,10,FALSE()),"")</f>
        <v/>
      </c>
      <c r="I64" s="3" t="str">
        <f>IFERROR(VLOOKUP(D64,data!$A:$J,10,FALSE()),"")</f>
        <v/>
      </c>
      <c r="J64" s="3" t="str">
        <f>IFERROR(VLOOKUP(E64,data!$A:$J,10,FALSE()),"")</f>
        <v/>
      </c>
      <c r="K64" s="3" t="str">
        <f>IFERROR(VLOOKUP(F64,data!$A:$J,10,FALSE()),"")</f>
        <v/>
      </c>
      <c r="L64" s="3" t="str">
        <f t="shared" si="1"/>
        <v>E53_G15</v>
      </c>
    </row>
    <row r="65" ht="15.75" customHeight="1">
      <c r="A65" s="1" t="s">
        <v>121</v>
      </c>
      <c r="B65" s="2" t="s">
        <v>122</v>
      </c>
      <c r="C65" s="3"/>
      <c r="G65" s="3" t="str">
        <f>IFERROR(VLOOKUP(B65,data!$A:$J,10,FALSE()),"")</f>
        <v>E53_G16</v>
      </c>
      <c r="H65" s="3" t="str">
        <f>IFERROR(VLOOKUP(C65,data!$A:$J,10,FALSE()),"")</f>
        <v/>
      </c>
      <c r="I65" s="3" t="str">
        <f>IFERROR(VLOOKUP(D65,data!$A:$J,10,FALSE()),"")</f>
        <v/>
      </c>
      <c r="J65" s="3" t="str">
        <f>IFERROR(VLOOKUP(E65,data!$A:$J,10,FALSE()),"")</f>
        <v/>
      </c>
      <c r="K65" s="3" t="str">
        <f>IFERROR(VLOOKUP(F65,data!$A:$J,10,FALSE()),"")</f>
        <v/>
      </c>
      <c r="L65" s="3" t="str">
        <f t="shared" si="1"/>
        <v>E53_G16</v>
      </c>
    </row>
    <row r="66" ht="15.75" customHeight="1">
      <c r="A66" s="1" t="s">
        <v>123</v>
      </c>
      <c r="B66" s="2" t="s">
        <v>124</v>
      </c>
      <c r="C66" s="3"/>
      <c r="G66" s="3" t="str">
        <f>IFERROR(VLOOKUP(B66,data!$A:$J,10,FALSE()),"")</f>
        <v>E53_G19</v>
      </c>
      <c r="H66" s="3" t="str">
        <f>IFERROR(VLOOKUP(C66,data!$A:$J,10,FALSE()),"")</f>
        <v/>
      </c>
      <c r="I66" s="3" t="str">
        <f>IFERROR(VLOOKUP(D66,data!$A:$J,10,FALSE()),"")</f>
        <v/>
      </c>
      <c r="J66" s="3" t="str">
        <f>IFERROR(VLOOKUP(E66,data!$A:$J,10,FALSE()),"")</f>
        <v/>
      </c>
      <c r="K66" s="3" t="str">
        <f>IFERROR(VLOOKUP(F66,data!$A:$J,10,FALSE()),"")</f>
        <v/>
      </c>
      <c r="L66" s="3" t="str">
        <f t="shared" si="1"/>
        <v>E53_G19</v>
      </c>
    </row>
    <row r="67" ht="15.75" customHeight="1">
      <c r="A67" s="1" t="s">
        <v>125</v>
      </c>
      <c r="B67" s="2" t="s">
        <v>126</v>
      </c>
      <c r="C67" s="3"/>
      <c r="G67" s="3" t="str">
        <f>IFERROR(VLOOKUP(B67,data!$A:$J,10,FALSE()),"")</f>
        <v>E53_G20</v>
      </c>
      <c r="H67" s="3" t="str">
        <f>IFERROR(VLOOKUP(C67,data!$A:$J,10,FALSE()),"")</f>
        <v/>
      </c>
      <c r="I67" s="3" t="str">
        <f>IFERROR(VLOOKUP(D67,data!$A:$J,10,FALSE()),"")</f>
        <v/>
      </c>
      <c r="J67" s="3" t="str">
        <f>IFERROR(VLOOKUP(E67,data!$A:$J,10,FALSE()),"")</f>
        <v/>
      </c>
      <c r="K67" s="3" t="str">
        <f>IFERROR(VLOOKUP(F67,data!$A:$J,10,FALSE()),"")</f>
        <v/>
      </c>
      <c r="L67" s="3" t="str">
        <f t="shared" si="1"/>
        <v>E53_G20</v>
      </c>
    </row>
    <row r="68" ht="15.75" customHeight="1">
      <c r="A68" s="1" t="s">
        <v>127</v>
      </c>
      <c r="B68" s="2" t="s">
        <v>128</v>
      </c>
      <c r="C68" s="3"/>
      <c r="G68" s="3" t="str">
        <f>IFERROR(VLOOKUP(B68,data!$A:$J,10,FALSE()),"")</f>
        <v>E53_G21</v>
      </c>
      <c r="H68" s="3" t="str">
        <f>IFERROR(VLOOKUP(C68,data!$A:$J,10,FALSE()),"")</f>
        <v/>
      </c>
      <c r="I68" s="3" t="str">
        <f>IFERROR(VLOOKUP(D68,data!$A:$J,10,FALSE()),"")</f>
        <v/>
      </c>
      <c r="J68" s="3" t="str">
        <f>IFERROR(VLOOKUP(E68,data!$A:$J,10,FALSE()),"")</f>
        <v/>
      </c>
      <c r="K68" s="3" t="str">
        <f>IFERROR(VLOOKUP(F68,data!$A:$J,10,FALSE()),"")</f>
        <v/>
      </c>
      <c r="L68" s="3" t="str">
        <f t="shared" si="1"/>
        <v>E53_G21</v>
      </c>
    </row>
    <row r="69" ht="15.75" customHeight="1">
      <c r="A69" s="1" t="s">
        <v>129</v>
      </c>
      <c r="B69" s="2" t="s">
        <v>130</v>
      </c>
      <c r="C69" s="3"/>
      <c r="G69" s="3" t="str">
        <f>IFERROR(VLOOKUP(B69,data!$A:$J,10,FALSE()),"")</f>
        <v>E53_G23</v>
      </c>
      <c r="H69" s="3" t="str">
        <f>IFERROR(VLOOKUP(C69,data!$A:$J,10,FALSE()),"")</f>
        <v/>
      </c>
      <c r="I69" s="3" t="str">
        <f>IFERROR(VLOOKUP(D69,data!$A:$J,10,FALSE()),"")</f>
        <v/>
      </c>
      <c r="J69" s="3" t="str">
        <f>IFERROR(VLOOKUP(E69,data!$A:$J,10,FALSE()),"")</f>
        <v/>
      </c>
      <c r="K69" s="3" t="str">
        <f>IFERROR(VLOOKUP(F69,data!$A:$J,10,FALSE()),"")</f>
        <v/>
      </c>
      <c r="L69" s="3" t="str">
        <f t="shared" si="1"/>
        <v>E53_G23</v>
      </c>
    </row>
    <row r="70" ht="15.75" customHeight="1">
      <c r="A70" s="1" t="s">
        <v>131</v>
      </c>
      <c r="B70" s="2" t="s">
        <v>132</v>
      </c>
      <c r="C70" s="3"/>
      <c r="G70" s="3" t="str">
        <f>IFERROR(VLOOKUP(B70,data!$A:$J,10,FALSE()),"")</f>
        <v>E53_G26</v>
      </c>
      <c r="H70" s="3" t="str">
        <f>IFERROR(VLOOKUP(C70,data!$A:$J,10,FALSE()),"")</f>
        <v/>
      </c>
      <c r="I70" s="3" t="str">
        <f>IFERROR(VLOOKUP(D70,data!$A:$J,10,FALSE()),"")</f>
        <v/>
      </c>
      <c r="J70" s="3" t="str">
        <f>IFERROR(VLOOKUP(E70,data!$A:$J,10,FALSE()),"")</f>
        <v/>
      </c>
      <c r="K70" s="3" t="str">
        <f>IFERROR(VLOOKUP(F70,data!$A:$J,10,FALSE()),"")</f>
        <v/>
      </c>
      <c r="L70" s="3" t="str">
        <f t="shared" si="1"/>
        <v>E53_G26</v>
      </c>
    </row>
    <row r="71" ht="15.75" customHeight="1">
      <c r="A71" s="1" t="s">
        <v>133</v>
      </c>
      <c r="B71" s="2" t="s">
        <v>134</v>
      </c>
      <c r="C71" s="3"/>
      <c r="G71" s="3" t="str">
        <f>IFERROR(VLOOKUP(B71,data!$A:$J,10,FALSE()),"")</f>
        <v>E53_G28</v>
      </c>
      <c r="H71" s="3" t="str">
        <f>IFERROR(VLOOKUP(C71,data!$A:$J,10,FALSE()),"")</f>
        <v/>
      </c>
      <c r="I71" s="3" t="str">
        <f>IFERROR(VLOOKUP(D71,data!$A:$J,10,FALSE()),"")</f>
        <v/>
      </c>
      <c r="J71" s="3" t="str">
        <f>IFERROR(VLOOKUP(E71,data!$A:$J,10,FALSE()),"")</f>
        <v/>
      </c>
      <c r="K71" s="3" t="str">
        <f>IFERROR(VLOOKUP(F71,data!$A:$J,10,FALSE()),"")</f>
        <v/>
      </c>
      <c r="L71" s="3" t="str">
        <f t="shared" si="1"/>
        <v>E53_G28</v>
      </c>
    </row>
    <row r="72" ht="15.75" customHeight="1">
      <c r="A72" s="1" t="s">
        <v>135</v>
      </c>
      <c r="B72" s="2" t="s">
        <v>13</v>
      </c>
      <c r="C72" s="3"/>
      <c r="G72" s="3" t="str">
        <f>IFERROR(VLOOKUP(B72,data!$A:$J,10,FALSE()),"")</f>
        <v>E53_G29</v>
      </c>
      <c r="H72" s="3" t="str">
        <f>IFERROR(VLOOKUP(C72,data!$A:$J,10,FALSE()),"")</f>
        <v/>
      </c>
      <c r="I72" s="3" t="str">
        <f>IFERROR(VLOOKUP(D72,data!$A:$J,10,FALSE()),"")</f>
        <v/>
      </c>
      <c r="J72" s="3" t="str">
        <f>IFERROR(VLOOKUP(E72,data!$A:$J,10,FALSE()),"")</f>
        <v/>
      </c>
      <c r="K72" s="3" t="str">
        <f>IFERROR(VLOOKUP(F72,data!$A:$J,10,FALSE()),"")</f>
        <v/>
      </c>
      <c r="L72" s="3" t="str">
        <f t="shared" si="1"/>
        <v>E53_G29</v>
      </c>
    </row>
    <row r="73" ht="15.75" customHeight="1">
      <c r="A73" s="1" t="s">
        <v>136</v>
      </c>
      <c r="B73" s="2" t="s">
        <v>137</v>
      </c>
      <c r="C73" s="3"/>
      <c r="G73" s="3" t="str">
        <f>IFERROR(VLOOKUP(B73,data!$A:$J,10,FALSE()),"")</f>
        <v>E53_G33</v>
      </c>
      <c r="H73" s="3" t="str">
        <f>IFERROR(VLOOKUP(C73,data!$A:$J,10,FALSE()),"")</f>
        <v/>
      </c>
      <c r="I73" s="3" t="str">
        <f>IFERROR(VLOOKUP(D73,data!$A:$J,10,FALSE()),"")</f>
        <v/>
      </c>
      <c r="J73" s="3" t="str">
        <f>IFERROR(VLOOKUP(E73,data!$A:$J,10,FALSE()),"")</f>
        <v/>
      </c>
      <c r="K73" s="3" t="str">
        <f>IFERROR(VLOOKUP(F73,data!$A:$J,10,FALSE()),"")</f>
        <v/>
      </c>
      <c r="L73" s="3" t="str">
        <f t="shared" si="1"/>
        <v>E53_G33</v>
      </c>
    </row>
    <row r="74" ht="15.75" customHeight="1">
      <c r="A74" s="1" t="s">
        <v>138</v>
      </c>
      <c r="B74" s="2" t="s">
        <v>137</v>
      </c>
      <c r="C74" s="3"/>
      <c r="G74" s="3" t="str">
        <f>IFERROR(VLOOKUP(B74,data!$A:$J,10,FALSE()),"")</f>
        <v>E53_G33</v>
      </c>
      <c r="H74" s="3" t="str">
        <f>IFERROR(VLOOKUP(C74,data!$A:$J,10,FALSE()),"")</f>
        <v/>
      </c>
      <c r="I74" s="3" t="str">
        <f>IFERROR(VLOOKUP(D74,data!$A:$J,10,FALSE()),"")</f>
        <v/>
      </c>
      <c r="J74" s="3" t="str">
        <f>IFERROR(VLOOKUP(E74,data!$A:$J,10,FALSE()),"")</f>
        <v/>
      </c>
      <c r="K74" s="3" t="str">
        <f>IFERROR(VLOOKUP(F74,data!$A:$J,10,FALSE()),"")</f>
        <v/>
      </c>
      <c r="L74" s="3" t="str">
        <f t="shared" ref="L74:L99" si="2">_xlfn.TEXTJOIN(" ",TRUE(),G74:K74)</f>
        <v>E53_G33</v>
      </c>
    </row>
    <row r="75" ht="15.75" customHeight="1">
      <c r="A75" s="1" t="s">
        <v>139</v>
      </c>
      <c r="B75" s="2" t="s">
        <v>49</v>
      </c>
      <c r="C75" s="3"/>
      <c r="G75" s="3" t="str">
        <f>IFERROR(VLOOKUP(B75,data!$A:$J,10,FALSE()),"")</f>
        <v>E53_G46</v>
      </c>
      <c r="H75" s="3" t="str">
        <f>IFERROR(VLOOKUP(C75,data!$A:$J,10,FALSE()),"")</f>
        <v/>
      </c>
      <c r="I75" s="3" t="str">
        <f>IFERROR(VLOOKUP(D75,data!$A:$J,10,FALSE()),"")</f>
        <v/>
      </c>
      <c r="J75" s="3" t="str">
        <f>IFERROR(VLOOKUP(E75,data!$A:$J,10,FALSE()),"")</f>
        <v/>
      </c>
      <c r="K75" s="3" t="str">
        <f>IFERROR(VLOOKUP(F75,data!$A:$J,10,FALSE()),"")</f>
        <v/>
      </c>
      <c r="L75" s="3" t="str">
        <f t="shared" si="2"/>
        <v>E53_G46</v>
      </c>
    </row>
    <row r="76" ht="15.75" customHeight="1">
      <c r="A76" s="1" t="s">
        <v>140</v>
      </c>
      <c r="B76" s="2" t="s">
        <v>141</v>
      </c>
      <c r="C76" s="3"/>
      <c r="G76" s="3" t="str">
        <f>IFERROR(VLOOKUP(B76,data!$A:$J,10,FALSE()),"")</f>
        <v>E53_G48</v>
      </c>
      <c r="H76" s="3" t="str">
        <f>IFERROR(VLOOKUP(C76,data!$A:$J,10,FALSE()),"")</f>
        <v/>
      </c>
      <c r="I76" s="3" t="str">
        <f>IFERROR(VLOOKUP(D76,data!$A:$J,10,FALSE()),"")</f>
        <v/>
      </c>
      <c r="J76" s="3" t="str">
        <f>IFERROR(VLOOKUP(E76,data!$A:$J,10,FALSE()),"")</f>
        <v/>
      </c>
      <c r="K76" s="3" t="str">
        <f>IFERROR(VLOOKUP(F76,data!$A:$J,10,FALSE()),"")</f>
        <v/>
      </c>
      <c r="L76" s="3" t="str">
        <f t="shared" si="2"/>
        <v>E53_G48</v>
      </c>
    </row>
    <row r="77" ht="15.75" customHeight="1">
      <c r="A77" s="1" t="s">
        <v>142</v>
      </c>
      <c r="B77" s="2" t="s">
        <v>143</v>
      </c>
      <c r="C77" s="3">
        <v>4930956</v>
      </c>
      <c r="D77" s="3">
        <v>2643743</v>
      </c>
      <c r="G77" s="3" t="str">
        <f>IFERROR(VLOOKUP(B77,data!$A:$J,10,FALSE()),"")</f>
        <v>E53_G51</v>
      </c>
      <c r="H77" s="3" t="str">
        <f>IFERROR(VLOOKUP(C77,data!$A:$J,10,FALSE()),"")</f>
        <v>E53_G20</v>
      </c>
      <c r="I77" s="3" t="str">
        <f>IFERROR(VLOOKUP(D77,data!$A:$J,10,FALSE()),"")</f>
        <v>E53_G107</v>
      </c>
      <c r="J77" s="3" t="str">
        <f>IFERROR(VLOOKUP(E77,data!$A:$J,10,FALSE()),"")</f>
        <v/>
      </c>
      <c r="K77" s="3" t="str">
        <f>IFERROR(VLOOKUP(F77,data!$A:$J,10,FALSE()),"")</f>
        <v/>
      </c>
      <c r="L77" s="3" t="str">
        <f t="shared" si="2"/>
        <v xml:space="preserve">E53_G51 E53_G20 E53_G107</v>
      </c>
    </row>
    <row r="78" ht="15.75" customHeight="1">
      <c r="A78" s="1" t="s">
        <v>144</v>
      </c>
      <c r="B78" s="2" t="s">
        <v>145</v>
      </c>
      <c r="C78" s="3"/>
      <c r="G78" s="3" t="str">
        <f>IFERROR(VLOOKUP(B78,data!$A:$J,10,FALSE()),"")</f>
        <v>E53_G57</v>
      </c>
      <c r="H78" s="3" t="str">
        <f>IFERROR(VLOOKUP(C78,data!$A:$J,10,FALSE()),"")</f>
        <v/>
      </c>
      <c r="I78" s="3" t="str">
        <f>IFERROR(VLOOKUP(D78,data!$A:$J,10,FALSE()),"")</f>
        <v/>
      </c>
      <c r="J78" s="3" t="str">
        <f>IFERROR(VLOOKUP(E78,data!$A:$J,10,FALSE()),"")</f>
        <v/>
      </c>
      <c r="K78" s="3" t="str">
        <f>IFERROR(VLOOKUP(F78,data!$A:$J,10,FALSE()),"")</f>
        <v/>
      </c>
      <c r="L78" s="3" t="str">
        <f t="shared" si="2"/>
        <v>E53_G57</v>
      </c>
    </row>
    <row r="79" ht="15.75" customHeight="1">
      <c r="A79" s="1" t="s">
        <v>146</v>
      </c>
      <c r="B79" s="2" t="s">
        <v>147</v>
      </c>
      <c r="C79" s="3"/>
      <c r="G79" s="3" t="str">
        <f>IFERROR(VLOOKUP(B79,data!$A:$J,10,FALSE()),"")</f>
        <v>E53_G60</v>
      </c>
      <c r="H79" s="3" t="str">
        <f>IFERROR(VLOOKUP(C79,data!$A:$J,10,FALSE()),"")</f>
        <v/>
      </c>
      <c r="I79" s="3" t="str">
        <f>IFERROR(VLOOKUP(D79,data!$A:$J,10,FALSE()),"")</f>
        <v/>
      </c>
      <c r="J79" s="3" t="str">
        <f>IFERROR(VLOOKUP(E79,data!$A:$J,10,FALSE()),"")</f>
        <v/>
      </c>
      <c r="K79" s="3" t="str">
        <f>IFERROR(VLOOKUP(F79,data!$A:$J,10,FALSE()),"")</f>
        <v/>
      </c>
      <c r="L79" s="3" t="str">
        <f t="shared" si="2"/>
        <v>E53_G60</v>
      </c>
    </row>
    <row r="80" ht="15.75" customHeight="1">
      <c r="A80" s="1" t="s">
        <v>148</v>
      </c>
      <c r="B80" s="2" t="s">
        <v>25</v>
      </c>
      <c r="C80" s="3">
        <v>2950159</v>
      </c>
      <c r="D80" s="3">
        <v>2761369</v>
      </c>
      <c r="G80" s="3" t="str">
        <f>IFERROR(VLOOKUP(B80,data!$A:$J,10,FALSE()),"")</f>
        <v>E53_G65</v>
      </c>
      <c r="H80" s="3" t="str">
        <f>IFERROR(VLOOKUP(C80,data!$A:$J,10,FALSE()),"")</f>
        <v>E53_G14</v>
      </c>
      <c r="I80" s="3" t="str">
        <f>IFERROR(VLOOKUP(D80,data!$A:$J,10,FALSE()),"")</f>
        <v>E53_G213</v>
      </c>
      <c r="J80" s="3" t="str">
        <f>IFERROR(VLOOKUP(E80,data!$A:$J,10,FALSE()),"")</f>
        <v/>
      </c>
      <c r="K80" s="3" t="str">
        <f>IFERROR(VLOOKUP(F80,data!$A:$J,10,FALSE()),"")</f>
        <v/>
      </c>
      <c r="L80" s="3" t="str">
        <f t="shared" si="2"/>
        <v xml:space="preserve">E53_G65 E53_G14 E53_G213</v>
      </c>
    </row>
    <row r="81" ht="15.75" customHeight="1">
      <c r="A81" s="1" t="s">
        <v>149</v>
      </c>
      <c r="B81" s="2" t="s">
        <v>150</v>
      </c>
      <c r="C81" s="3"/>
      <c r="G81" s="3" t="str">
        <f>IFERROR(VLOOKUP(B81,data!$A:$J,10,FALSE()),"")</f>
        <v>E53_G61</v>
      </c>
      <c r="H81" s="3" t="str">
        <f>IFERROR(VLOOKUP(C81,data!$A:$J,10,FALSE()),"")</f>
        <v/>
      </c>
      <c r="I81" s="3" t="str">
        <f>IFERROR(VLOOKUP(D81,data!$A:$J,10,FALSE()),"")</f>
        <v/>
      </c>
      <c r="J81" s="3" t="str">
        <f>IFERROR(VLOOKUP(E81,data!$A:$J,10,FALSE()),"")</f>
        <v/>
      </c>
      <c r="K81" s="3" t="str">
        <f>IFERROR(VLOOKUP(F81,data!$A:$J,10,FALSE()),"")</f>
        <v/>
      </c>
      <c r="L81" s="3" t="str">
        <f t="shared" si="2"/>
        <v>E53_G61</v>
      </c>
    </row>
    <row r="82" ht="15.75" customHeight="1">
      <c r="A82" s="1" t="s">
        <v>151</v>
      </c>
      <c r="B82" s="2" t="s">
        <v>152</v>
      </c>
      <c r="C82" s="3"/>
      <c r="G82" s="3" t="str">
        <f>IFERROR(VLOOKUP(B82,data!$A:$J,10,FALSE()),"")</f>
        <v>E53_G67</v>
      </c>
      <c r="H82" s="3" t="str">
        <f>IFERROR(VLOOKUP(C82,data!$A:$J,10,FALSE()),"")</f>
        <v/>
      </c>
      <c r="I82" s="3" t="str">
        <f>IFERROR(VLOOKUP(D82,data!$A:$J,10,FALSE()),"")</f>
        <v/>
      </c>
      <c r="J82" s="3" t="str">
        <f>IFERROR(VLOOKUP(E82,data!$A:$J,10,FALSE()),"")</f>
        <v/>
      </c>
      <c r="K82" s="3" t="str">
        <f>IFERROR(VLOOKUP(F82,data!$A:$J,10,FALSE()),"")</f>
        <v/>
      </c>
      <c r="L82" s="3" t="str">
        <f t="shared" si="2"/>
        <v>E53_G67</v>
      </c>
    </row>
    <row r="83" ht="15.75" customHeight="1">
      <c r="A83" s="1" t="s">
        <v>153</v>
      </c>
      <c r="B83" s="2" t="s">
        <v>154</v>
      </c>
      <c r="C83" s="3"/>
      <c r="G83" s="3" t="str">
        <f>IFERROR(VLOOKUP(B83,data!$A:$J,10,FALSE()),"")</f>
        <v>E53_G69</v>
      </c>
      <c r="H83" s="3" t="str">
        <f>IFERROR(VLOOKUP(C83,data!$A:$J,10,FALSE()),"")</f>
        <v/>
      </c>
      <c r="I83" s="3" t="str">
        <f>IFERROR(VLOOKUP(D83,data!$A:$J,10,FALSE()),"")</f>
        <v/>
      </c>
      <c r="J83" s="3" t="str">
        <f>IFERROR(VLOOKUP(E83,data!$A:$J,10,FALSE()),"")</f>
        <v/>
      </c>
      <c r="K83" s="3" t="str">
        <f>IFERROR(VLOOKUP(F83,data!$A:$J,10,FALSE()),"")</f>
        <v/>
      </c>
      <c r="L83" s="3" t="str">
        <f t="shared" si="2"/>
        <v>E53_G69</v>
      </c>
    </row>
    <row r="84" ht="15.75" customHeight="1">
      <c r="A84" s="1" t="s">
        <v>155</v>
      </c>
      <c r="B84" s="2" t="s">
        <v>156</v>
      </c>
      <c r="C84" s="3"/>
      <c r="G84" s="3" t="str">
        <f>IFERROR(VLOOKUP(B84,data!$A:$J,10,FALSE()),"")</f>
        <v>E53_G70</v>
      </c>
      <c r="H84" s="3" t="str">
        <f>IFERROR(VLOOKUP(C84,data!$A:$J,10,FALSE()),"")</f>
        <v/>
      </c>
      <c r="I84" s="3" t="str">
        <f>IFERROR(VLOOKUP(D84,data!$A:$J,10,FALSE()),"")</f>
        <v/>
      </c>
      <c r="J84" s="3" t="str">
        <f>IFERROR(VLOOKUP(E84,data!$A:$J,10,FALSE()),"")</f>
        <v/>
      </c>
      <c r="K84" s="3" t="str">
        <f>IFERROR(VLOOKUP(F84,data!$A:$J,10,FALSE()),"")</f>
        <v/>
      </c>
      <c r="L84" s="3" t="str">
        <f t="shared" si="2"/>
        <v>E53_G70</v>
      </c>
    </row>
    <row r="85" ht="15.75" customHeight="1">
      <c r="A85" s="1" t="s">
        <v>157</v>
      </c>
      <c r="B85" s="2" t="s">
        <v>158</v>
      </c>
      <c r="C85" s="3"/>
      <c r="G85" s="3" t="str">
        <f>IFERROR(VLOOKUP(B85,data!$A:$J,10,FALSE()),"")</f>
        <v>E53_G73</v>
      </c>
      <c r="H85" s="3" t="str">
        <f>IFERROR(VLOOKUP(C85,data!$A:$J,10,FALSE()),"")</f>
        <v/>
      </c>
      <c r="I85" s="3" t="str">
        <f>IFERROR(VLOOKUP(D85,data!$A:$J,10,FALSE()),"")</f>
        <v/>
      </c>
      <c r="J85" s="3" t="str">
        <f>IFERROR(VLOOKUP(E85,data!$A:$J,10,FALSE()),"")</f>
        <v/>
      </c>
      <c r="K85" s="3" t="str">
        <f>IFERROR(VLOOKUP(F85,data!$A:$J,10,FALSE()),"")</f>
        <v/>
      </c>
      <c r="L85" s="3" t="str">
        <f t="shared" si="2"/>
        <v>E53_G73</v>
      </c>
    </row>
    <row r="86" ht="15.75" customHeight="1">
      <c r="A86" s="1" t="s">
        <v>159</v>
      </c>
      <c r="B86" s="2" t="s">
        <v>160</v>
      </c>
      <c r="C86" s="3"/>
      <c r="G86" s="3" t="str">
        <f>IFERROR(VLOOKUP(B86,data!$A:$J,10,FALSE()),"")</f>
        <v>E53_G76</v>
      </c>
      <c r="H86" s="3" t="str">
        <f>IFERROR(VLOOKUP(C86,data!$A:$J,10,FALSE()),"")</f>
        <v/>
      </c>
      <c r="I86" s="3" t="str">
        <f>IFERROR(VLOOKUP(D86,data!$A:$J,10,FALSE()),"")</f>
        <v/>
      </c>
      <c r="J86" s="3" t="str">
        <f>IFERROR(VLOOKUP(E86,data!$A:$J,10,FALSE()),"")</f>
        <v/>
      </c>
      <c r="K86" s="3" t="str">
        <f>IFERROR(VLOOKUP(F86,data!$A:$J,10,FALSE()),"")</f>
        <v/>
      </c>
      <c r="L86" s="3" t="str">
        <f t="shared" si="2"/>
        <v>E53_G76</v>
      </c>
    </row>
    <row r="87" ht="15.75" customHeight="1">
      <c r="A87" s="1" t="s">
        <v>161</v>
      </c>
      <c r="B87" s="2" t="s">
        <v>162</v>
      </c>
      <c r="C87" s="3"/>
      <c r="G87" s="3" t="str">
        <f>IFERROR(VLOOKUP(B87,data!$A:$J,10,FALSE()),"")</f>
        <v>E53_G78</v>
      </c>
      <c r="H87" s="3" t="str">
        <f>IFERROR(VLOOKUP(C87,data!$A:$J,10,FALSE()),"")</f>
        <v/>
      </c>
      <c r="I87" s="3" t="str">
        <f>IFERROR(VLOOKUP(D87,data!$A:$J,10,FALSE()),"")</f>
        <v/>
      </c>
      <c r="J87" s="3" t="str">
        <f>IFERROR(VLOOKUP(E87,data!$A:$J,10,FALSE()),"")</f>
        <v/>
      </c>
      <c r="K87" s="3" t="str">
        <f>IFERROR(VLOOKUP(F87,data!$A:$J,10,FALSE()),"")</f>
        <v/>
      </c>
      <c r="L87" s="3" t="str">
        <f t="shared" si="2"/>
        <v>E53_G78</v>
      </c>
    </row>
    <row r="88" ht="15.75" customHeight="1">
      <c r="A88" s="1" t="s">
        <v>163</v>
      </c>
      <c r="B88" s="2" t="s">
        <v>164</v>
      </c>
      <c r="C88" s="3"/>
      <c r="G88" s="3" t="str">
        <f>IFERROR(VLOOKUP(B88,data!$A:$J,10,FALSE()),"")</f>
        <v>E53_G79</v>
      </c>
      <c r="H88" s="3" t="str">
        <f>IFERROR(VLOOKUP(C88,data!$A:$J,10,FALSE()),"")</f>
        <v/>
      </c>
      <c r="I88" s="3" t="str">
        <f>IFERROR(VLOOKUP(D88,data!$A:$J,10,FALSE()),"")</f>
        <v/>
      </c>
      <c r="J88" s="3" t="str">
        <f>IFERROR(VLOOKUP(E88,data!$A:$J,10,FALSE()),"")</f>
        <v/>
      </c>
      <c r="K88" s="3" t="str">
        <f>IFERROR(VLOOKUP(F88,data!$A:$J,10,FALSE()),"")</f>
        <v/>
      </c>
      <c r="L88" s="3" t="str">
        <f t="shared" si="2"/>
        <v>E53_G79</v>
      </c>
    </row>
    <row r="89" ht="15.75" customHeight="1">
      <c r="A89" s="1" t="s">
        <v>165</v>
      </c>
      <c r="B89" s="2" t="s">
        <v>166</v>
      </c>
      <c r="C89" s="3"/>
      <c r="G89" s="3" t="str">
        <f>IFERROR(VLOOKUP(B89,data!$A:$J,10,FALSE()),"")</f>
        <v>E53_G85</v>
      </c>
      <c r="H89" s="3" t="str">
        <f>IFERROR(VLOOKUP(C89,data!$A:$J,10,FALSE()),"")</f>
        <v/>
      </c>
      <c r="I89" s="3" t="str">
        <f>IFERROR(VLOOKUP(D89,data!$A:$J,10,FALSE()),"")</f>
        <v/>
      </c>
      <c r="J89" s="3" t="str">
        <f>IFERROR(VLOOKUP(E89,data!$A:$J,10,FALSE()),"")</f>
        <v/>
      </c>
      <c r="K89" s="3" t="str">
        <f>IFERROR(VLOOKUP(F89,data!$A:$J,10,FALSE()),"")</f>
        <v/>
      </c>
      <c r="L89" s="3" t="str">
        <f t="shared" si="2"/>
        <v>E53_G85</v>
      </c>
    </row>
    <row r="90" ht="15.75" customHeight="1">
      <c r="A90" s="1" t="s">
        <v>167</v>
      </c>
      <c r="B90" s="2" t="s">
        <v>168</v>
      </c>
      <c r="C90" s="3"/>
      <c r="G90" s="3" t="str">
        <f>IFERROR(VLOOKUP(B90,data!$A:$J,10,FALSE()),"")</f>
        <v>E53_G86</v>
      </c>
      <c r="H90" s="3" t="str">
        <f>IFERROR(VLOOKUP(C90,data!$A:$J,10,FALSE()),"")</f>
        <v/>
      </c>
      <c r="I90" s="3" t="str">
        <f>IFERROR(VLOOKUP(D90,data!$A:$J,10,FALSE()),"")</f>
        <v/>
      </c>
      <c r="J90" s="3" t="str">
        <f>IFERROR(VLOOKUP(E90,data!$A:$J,10,FALSE()),"")</f>
        <v/>
      </c>
      <c r="K90" s="3" t="str">
        <f>IFERROR(VLOOKUP(F90,data!$A:$J,10,FALSE()),"")</f>
        <v/>
      </c>
      <c r="L90" s="3" t="str">
        <f t="shared" si="2"/>
        <v>E53_G86</v>
      </c>
    </row>
    <row r="91" ht="15.75" customHeight="1">
      <c r="A91" s="1" t="s">
        <v>169</v>
      </c>
      <c r="B91" s="2" t="s">
        <v>170</v>
      </c>
      <c r="C91" s="3"/>
      <c r="G91" s="3" t="str">
        <f>IFERROR(VLOOKUP(B91,data!$A:$J,10,FALSE()),"")</f>
        <v>E53_G87</v>
      </c>
      <c r="H91" s="3" t="str">
        <f>IFERROR(VLOOKUP(C91,data!$A:$J,10,FALSE()),"")</f>
        <v/>
      </c>
      <c r="I91" s="3" t="str">
        <f>IFERROR(VLOOKUP(D91,data!$A:$J,10,FALSE()),"")</f>
        <v/>
      </c>
      <c r="J91" s="3" t="str">
        <f>IFERROR(VLOOKUP(E91,data!$A:$J,10,FALSE()),"")</f>
        <v/>
      </c>
      <c r="K91" s="3" t="str">
        <f>IFERROR(VLOOKUP(F91,data!$A:$J,10,FALSE()),"")</f>
        <v/>
      </c>
      <c r="L91" s="3" t="str">
        <f t="shared" si="2"/>
        <v>E53_G87</v>
      </c>
    </row>
    <row r="92" ht="15.75" customHeight="1">
      <c r="A92" s="1" t="s">
        <v>171</v>
      </c>
      <c r="B92" s="2" t="s">
        <v>172</v>
      </c>
      <c r="C92" s="3"/>
      <c r="G92" s="3" t="str">
        <f>IFERROR(VLOOKUP(B92,data!$A:$J,10,FALSE()),"")</f>
        <v>E53_G88</v>
      </c>
      <c r="H92" s="3" t="str">
        <f>IFERROR(VLOOKUP(C92,data!$A:$J,10,FALSE()),"")</f>
        <v/>
      </c>
      <c r="I92" s="3" t="str">
        <f>IFERROR(VLOOKUP(D92,data!$A:$J,10,FALSE()),"")</f>
        <v/>
      </c>
      <c r="J92" s="3" t="str">
        <f>IFERROR(VLOOKUP(E92,data!$A:$J,10,FALSE()),"")</f>
        <v/>
      </c>
      <c r="K92" s="3" t="str">
        <f>IFERROR(VLOOKUP(F92,data!$A:$J,10,FALSE()),"")</f>
        <v/>
      </c>
      <c r="L92" s="3" t="str">
        <f t="shared" si="2"/>
        <v>E53_G88</v>
      </c>
    </row>
    <row r="93" ht="15.75" customHeight="1">
      <c r="A93" s="1" t="s">
        <v>173</v>
      </c>
      <c r="B93" s="2" t="s">
        <v>174</v>
      </c>
      <c r="C93" s="3"/>
      <c r="G93" s="3" t="str">
        <f>IFERROR(VLOOKUP(B93,data!$A:$J,10,FALSE()),"")</f>
        <v>E53_G91</v>
      </c>
      <c r="H93" s="3" t="str">
        <f>IFERROR(VLOOKUP(C93,data!$A:$J,10,FALSE()),"")</f>
        <v/>
      </c>
      <c r="I93" s="3" t="str">
        <f>IFERROR(VLOOKUP(D93,data!$A:$J,10,FALSE()),"")</f>
        <v/>
      </c>
      <c r="J93" s="3" t="str">
        <f>IFERROR(VLOOKUP(E93,data!$A:$J,10,FALSE()),"")</f>
        <v/>
      </c>
      <c r="K93" s="3" t="str">
        <f>IFERROR(VLOOKUP(F93,data!$A:$J,10,FALSE()),"")</f>
        <v/>
      </c>
      <c r="L93" s="3" t="str">
        <f t="shared" si="2"/>
        <v>E53_G91</v>
      </c>
    </row>
    <row r="94" ht="15.75" customHeight="1">
      <c r="A94" s="1" t="s">
        <v>175</v>
      </c>
      <c r="B94" s="2" t="s">
        <v>176</v>
      </c>
      <c r="C94" s="3"/>
      <c r="G94" s="3" t="str">
        <f>IFERROR(VLOOKUP(B94,data!$A:$J,10,FALSE()),"")</f>
        <v>E53_G94</v>
      </c>
      <c r="H94" s="3" t="str">
        <f>IFERROR(VLOOKUP(C94,data!$A:$J,10,FALSE()),"")</f>
        <v/>
      </c>
      <c r="I94" s="3" t="str">
        <f>IFERROR(VLOOKUP(D94,data!$A:$J,10,FALSE()),"")</f>
        <v/>
      </c>
      <c r="J94" s="3" t="str">
        <f>IFERROR(VLOOKUP(E94,data!$A:$J,10,FALSE()),"")</f>
        <v/>
      </c>
      <c r="K94" s="3" t="str">
        <f>IFERROR(VLOOKUP(F94,data!$A:$J,10,FALSE()),"")</f>
        <v/>
      </c>
      <c r="L94" s="3" t="str">
        <f t="shared" si="2"/>
        <v>E53_G94</v>
      </c>
    </row>
    <row r="95" ht="15.75" customHeight="1">
      <c r="A95" s="1" t="s">
        <v>177</v>
      </c>
      <c r="B95" s="2" t="s">
        <v>4</v>
      </c>
      <c r="C95" s="3">
        <v>3054643</v>
      </c>
      <c r="D95" s="3">
        <v>2523083</v>
      </c>
      <c r="G95" s="3" t="str">
        <f>IFERROR(VLOOKUP(B95,data!$A:$J,10,FALSE()),"")</f>
        <v>E53_G96</v>
      </c>
      <c r="H95" s="3" t="str">
        <f>IFERROR(VLOOKUP(C95,data!$A:$J,10,FALSE()),"")</f>
        <v>E53_G30</v>
      </c>
      <c r="I95" s="3" t="str">
        <f>IFERROR(VLOOKUP(D95,data!$A:$J,10,FALSE()),"")</f>
        <v>E53_G189</v>
      </c>
      <c r="J95" s="3" t="str">
        <f>IFERROR(VLOOKUP(E95,data!$A:$J,10,FALSE()),"")</f>
        <v/>
      </c>
      <c r="K95" s="3" t="str">
        <f>IFERROR(VLOOKUP(F95,data!$A:$J,10,FALSE()),"")</f>
        <v/>
      </c>
      <c r="L95" s="3" t="str">
        <f t="shared" si="2"/>
        <v xml:space="preserve">E53_G96 E53_G30 E53_G189</v>
      </c>
    </row>
    <row r="96" ht="15.75" customHeight="1">
      <c r="A96" s="1" t="s">
        <v>178</v>
      </c>
      <c r="B96" s="2" t="s">
        <v>179</v>
      </c>
      <c r="C96" s="3"/>
      <c r="G96" s="3" t="str">
        <f>IFERROR(VLOOKUP(B96,data!$A:$J,10,FALSE()),"")</f>
        <v>E53_G43</v>
      </c>
      <c r="H96" s="3" t="str">
        <f>IFERROR(VLOOKUP(C96,data!$A:$J,10,FALSE()),"")</f>
        <v/>
      </c>
      <c r="I96" s="3" t="str">
        <f>IFERROR(VLOOKUP(D96,data!$A:$J,10,FALSE()),"")</f>
        <v/>
      </c>
      <c r="J96" s="3" t="str">
        <f>IFERROR(VLOOKUP(E96,data!$A:$J,10,FALSE()),"")</f>
        <v/>
      </c>
      <c r="K96" s="3" t="str">
        <f>IFERROR(VLOOKUP(F96,data!$A:$J,10,FALSE()),"")</f>
        <v/>
      </c>
      <c r="L96" s="3" t="str">
        <f t="shared" si="2"/>
        <v>E53_G43</v>
      </c>
    </row>
    <row r="97" ht="15.75" customHeight="1">
      <c r="A97" s="1" t="s">
        <v>180</v>
      </c>
      <c r="B97" s="2" t="s">
        <v>41</v>
      </c>
      <c r="C97" s="3"/>
      <c r="G97" s="3" t="str">
        <f>IFERROR(VLOOKUP(B97,data!$A:$J,10,FALSE()),"")</f>
        <v>E53_G107</v>
      </c>
      <c r="H97" s="3" t="str">
        <f>IFERROR(VLOOKUP(C97,data!$A:$J,10,FALSE()),"")</f>
        <v/>
      </c>
      <c r="I97" s="3" t="str">
        <f>IFERROR(VLOOKUP(D97,data!$A:$J,10,FALSE()),"")</f>
        <v/>
      </c>
      <c r="J97" s="3" t="str">
        <f>IFERROR(VLOOKUP(E97,data!$A:$J,10,FALSE()),"")</f>
        <v/>
      </c>
      <c r="K97" s="3" t="str">
        <f>IFERROR(VLOOKUP(F97,data!$A:$J,10,FALSE()),"")</f>
        <v/>
      </c>
      <c r="L97" s="3" t="str">
        <f t="shared" si="2"/>
        <v>E53_G107</v>
      </c>
    </row>
    <row r="98" ht="15.75" customHeight="1">
      <c r="A98" s="1" t="s">
        <v>181</v>
      </c>
      <c r="B98" s="2" t="s">
        <v>41</v>
      </c>
      <c r="C98" s="3">
        <v>5128581</v>
      </c>
      <c r="G98" s="3" t="str">
        <f>IFERROR(VLOOKUP(B98,data!$A:$J,10,FALSE()),"")</f>
        <v>E53_G107</v>
      </c>
      <c r="H98" s="3" t="str">
        <f>IFERROR(VLOOKUP(C98,data!$A:$J,10,FALSE()),"")</f>
        <v>E53_G130</v>
      </c>
      <c r="I98" s="3" t="str">
        <f>IFERROR(VLOOKUP(D98,data!$A:$J,10,FALSE()),"")</f>
        <v/>
      </c>
      <c r="J98" s="3" t="str">
        <f>IFERROR(VLOOKUP(E98,data!$A:$J,10,FALSE()),"")</f>
        <v/>
      </c>
      <c r="K98" s="3" t="str">
        <f>IFERROR(VLOOKUP(F98,data!$A:$J,10,FALSE()),"")</f>
        <v/>
      </c>
      <c r="L98" s="3" t="str">
        <f t="shared" si="2"/>
        <v xml:space="preserve">E53_G107 E53_G130</v>
      </c>
    </row>
    <row r="99" ht="15.75" customHeight="1">
      <c r="A99" s="1" t="s">
        <v>182</v>
      </c>
      <c r="B99" s="2" t="s">
        <v>183</v>
      </c>
      <c r="C99" s="3"/>
      <c r="G99" s="3" t="str">
        <f>IFERROR(VLOOKUP(B99,data!$A:$J,10,FALSE()),"")</f>
        <v>E53_G101</v>
      </c>
      <c r="H99" s="3" t="str">
        <f>IFERROR(VLOOKUP(C99,data!$A:$J,10,FALSE()),"")</f>
        <v/>
      </c>
      <c r="I99" s="3" t="str">
        <f>IFERROR(VLOOKUP(D99,data!$A:$J,10,FALSE()),"")</f>
        <v/>
      </c>
      <c r="J99" s="3" t="str">
        <f>IFERROR(VLOOKUP(E99,data!$A:$J,10,FALSE()),"")</f>
        <v/>
      </c>
      <c r="K99" s="3" t="str">
        <f>IFERROR(VLOOKUP(F99,data!$A:$J,10,FALSE()),"")</f>
        <v/>
      </c>
      <c r="L99" s="3" t="str">
        <f t="shared" si="2"/>
        <v>E53_G101</v>
      </c>
    </row>
    <row r="100" ht="15.75" customHeight="1">
      <c r="A100" s="1" t="s">
        <v>184</v>
      </c>
      <c r="B100" s="2" t="s">
        <v>185</v>
      </c>
      <c r="C100" s="3"/>
      <c r="G100" s="3" t="str">
        <f>IFERROR(VLOOKUP(B100,data!$A:$J,10,FALSE()),"")</f>
        <v>E53_G103</v>
      </c>
      <c r="H100" s="3" t="str">
        <f>IFERROR(VLOOKUP(C100,data!$A:$J,10,FALSE()),"")</f>
        <v/>
      </c>
      <c r="I100" s="3" t="str">
        <f>IFERROR(VLOOKUP(D100,data!$A:$J,10,FALSE()),"")</f>
        <v/>
      </c>
      <c r="J100" s="3" t="str">
        <f>IFERROR(VLOOKUP(E100,data!$A:$J,10,FALSE()),"")</f>
        <v/>
      </c>
      <c r="K100" s="3" t="str">
        <f>IFERROR(VLOOKUP(F100,data!$A:$J,10,FALSE()),"")</f>
        <v/>
      </c>
      <c r="L100" s="3" t="str">
        <f t="shared" ref="L100:L163" si="3">_xlfn.TEXTJOIN(" ",TRUE(),G100:K100)</f>
        <v>E53_G103</v>
      </c>
    </row>
    <row r="101" ht="15.75" customHeight="1">
      <c r="A101" s="1" t="s">
        <v>186</v>
      </c>
      <c r="B101" s="2" t="s">
        <v>103</v>
      </c>
      <c r="C101" s="3"/>
      <c r="G101" s="3" t="str">
        <f>IFERROR(VLOOKUP(B101,data!$A:$J,10,FALSE()),"")</f>
        <v>E53_G110</v>
      </c>
      <c r="H101" s="3" t="str">
        <f>IFERROR(VLOOKUP(C101,data!$A:$J,10,FALSE()),"")</f>
        <v/>
      </c>
      <c r="I101" s="3" t="str">
        <f>IFERROR(VLOOKUP(D101,data!$A:$J,10,FALSE()),"")</f>
        <v/>
      </c>
      <c r="J101" s="3" t="str">
        <f>IFERROR(VLOOKUP(E101,data!$A:$J,10,FALSE()),"")</f>
        <v/>
      </c>
      <c r="K101" s="3" t="str">
        <f>IFERROR(VLOOKUP(F101,data!$A:$J,10,FALSE()),"")</f>
        <v/>
      </c>
      <c r="L101" s="3" t="str">
        <f t="shared" si="3"/>
        <v>E53_G110</v>
      </c>
    </row>
    <row r="102" ht="15.75" customHeight="1">
      <c r="A102" s="1" t="s">
        <v>187</v>
      </c>
      <c r="B102" s="2" t="s">
        <v>188</v>
      </c>
      <c r="C102" s="3"/>
      <c r="G102" s="3" t="str">
        <f>IFERROR(VLOOKUP(B102,data!$A:$J,10,FALSE()),"")</f>
        <v>E53_G106</v>
      </c>
      <c r="H102" s="3" t="str">
        <f>IFERROR(VLOOKUP(C102,data!$A:$J,10,FALSE()),"")</f>
        <v/>
      </c>
      <c r="I102" s="3" t="str">
        <f>IFERROR(VLOOKUP(D102,data!$A:$J,10,FALSE()),"")</f>
        <v/>
      </c>
      <c r="J102" s="3" t="str">
        <f>IFERROR(VLOOKUP(E102,data!$A:$J,10,FALSE()),"")</f>
        <v/>
      </c>
      <c r="K102" s="3" t="str">
        <f>IFERROR(VLOOKUP(F102,data!$A:$J,10,FALSE()),"")</f>
        <v/>
      </c>
      <c r="L102" s="3" t="str">
        <f t="shared" si="3"/>
        <v>E53_G106</v>
      </c>
    </row>
    <row r="103" ht="15.75" customHeight="1">
      <c r="A103" s="1" t="s">
        <v>189</v>
      </c>
      <c r="B103" s="2" t="s">
        <v>190</v>
      </c>
      <c r="C103" s="3"/>
      <c r="G103" s="3" t="str">
        <f>IFERROR(VLOOKUP(B103,data!$A:$J,10,FALSE()),"")</f>
        <v>E53_G111</v>
      </c>
      <c r="H103" s="3" t="str">
        <f>IFERROR(VLOOKUP(C103,data!$A:$J,10,FALSE()),"")</f>
        <v/>
      </c>
      <c r="I103" s="3" t="str">
        <f>IFERROR(VLOOKUP(D103,data!$A:$J,10,FALSE()),"")</f>
        <v/>
      </c>
      <c r="J103" s="3" t="str">
        <f>IFERROR(VLOOKUP(E103,data!$A:$J,10,FALSE()),"")</f>
        <v/>
      </c>
      <c r="K103" s="3" t="str">
        <f>IFERROR(VLOOKUP(F103,data!$A:$J,10,FALSE()),"")</f>
        <v/>
      </c>
      <c r="L103" s="3" t="str">
        <f t="shared" si="3"/>
        <v>E53_G111</v>
      </c>
    </row>
    <row r="104" ht="15.75" customHeight="1">
      <c r="A104" s="1" t="s">
        <v>191</v>
      </c>
      <c r="B104" s="2" t="s">
        <v>192</v>
      </c>
      <c r="C104" s="3"/>
      <c r="G104" s="3" t="str">
        <f>IFERROR(VLOOKUP(B104,data!$A:$J,10,FALSE()),"")</f>
        <v>E53_G113</v>
      </c>
      <c r="H104" s="3" t="str">
        <f>IFERROR(VLOOKUP(C104,data!$A:$J,10,FALSE()),"")</f>
        <v/>
      </c>
      <c r="I104" s="3" t="str">
        <f>IFERROR(VLOOKUP(D104,data!$A:$J,10,FALSE()),"")</f>
        <v/>
      </c>
      <c r="J104" s="3" t="str">
        <f>IFERROR(VLOOKUP(E104,data!$A:$J,10,FALSE()),"")</f>
        <v/>
      </c>
      <c r="K104" s="3" t="str">
        <f>IFERROR(VLOOKUP(F104,data!$A:$J,10,FALSE()),"")</f>
        <v/>
      </c>
      <c r="L104" s="3" t="str">
        <f t="shared" si="3"/>
        <v>E53_G113</v>
      </c>
    </row>
    <row r="105" ht="15.75" customHeight="1">
      <c r="A105" s="1" t="s">
        <v>193</v>
      </c>
      <c r="B105" s="2" t="s">
        <v>194</v>
      </c>
      <c r="C105" s="3"/>
      <c r="G105" s="3" t="str">
        <f>IFERROR(VLOOKUP(B105,data!$A:$J,10,FALSE()),"")</f>
        <v>E53_G114</v>
      </c>
      <c r="H105" s="3" t="str">
        <f>IFERROR(VLOOKUP(C105,data!$A:$J,10,FALSE()),"")</f>
        <v/>
      </c>
      <c r="I105" s="3" t="str">
        <f>IFERROR(VLOOKUP(D105,data!$A:$J,10,FALSE()),"")</f>
        <v/>
      </c>
      <c r="J105" s="3" t="str">
        <f>IFERROR(VLOOKUP(E105,data!$A:$J,10,FALSE()),"")</f>
        <v/>
      </c>
      <c r="K105" s="3" t="str">
        <f>IFERROR(VLOOKUP(F105,data!$A:$J,10,FALSE()),"")</f>
        <v/>
      </c>
      <c r="L105" s="3" t="str">
        <f t="shared" si="3"/>
        <v>E53_G114</v>
      </c>
    </row>
    <row r="106" ht="15.75" customHeight="1">
      <c r="A106" s="1" t="s">
        <v>195</v>
      </c>
      <c r="B106" s="2" t="s">
        <v>196</v>
      </c>
      <c r="C106" s="3"/>
      <c r="G106" s="3" t="str">
        <f>IFERROR(VLOOKUP(B106,data!$A:$J,10,FALSE()),"")</f>
        <v>E53_G116</v>
      </c>
      <c r="H106" s="3" t="str">
        <f>IFERROR(VLOOKUP(C106,data!$A:$J,10,FALSE()),"")</f>
        <v/>
      </c>
      <c r="I106" s="3" t="str">
        <f>IFERROR(VLOOKUP(D106,data!$A:$J,10,FALSE()),"")</f>
        <v/>
      </c>
      <c r="J106" s="3" t="str">
        <f>IFERROR(VLOOKUP(E106,data!$A:$J,10,FALSE()),"")</f>
        <v/>
      </c>
      <c r="K106" s="3" t="str">
        <f>IFERROR(VLOOKUP(F106,data!$A:$J,10,FALSE()),"")</f>
        <v/>
      </c>
      <c r="L106" s="3" t="str">
        <f t="shared" si="3"/>
        <v>E53_G116</v>
      </c>
    </row>
    <row r="107" ht="15.75" customHeight="1">
      <c r="A107" s="1" t="s">
        <v>197</v>
      </c>
      <c r="B107" s="2" t="s">
        <v>68</v>
      </c>
      <c r="C107" s="3"/>
      <c r="G107" s="3" t="str">
        <f>IFERROR(VLOOKUP(B107,data!$A:$J,10,FALSE()),"")</f>
        <v>E53_G117</v>
      </c>
      <c r="H107" s="3" t="str">
        <f>IFERROR(VLOOKUP(C107,data!$A:$J,10,FALSE()),"")</f>
        <v/>
      </c>
      <c r="I107" s="3" t="str">
        <f>IFERROR(VLOOKUP(D107,data!$A:$J,10,FALSE()),"")</f>
        <v/>
      </c>
      <c r="J107" s="3" t="str">
        <f>IFERROR(VLOOKUP(E107,data!$A:$J,10,FALSE()),"")</f>
        <v/>
      </c>
      <c r="K107" s="3" t="str">
        <f>IFERROR(VLOOKUP(F107,data!$A:$J,10,FALSE()),"")</f>
        <v/>
      </c>
      <c r="L107" s="3" t="str">
        <f t="shared" si="3"/>
        <v>E53_G117</v>
      </c>
    </row>
    <row r="108" ht="15.75" customHeight="1">
      <c r="A108" s="1" t="s">
        <v>198</v>
      </c>
      <c r="B108" s="2" t="s">
        <v>199</v>
      </c>
      <c r="C108" s="3"/>
      <c r="G108" s="3" t="str">
        <f>IFERROR(VLOOKUP(B108,data!$A:$J,10,FALSE()),"")</f>
        <v>E53_G120</v>
      </c>
      <c r="H108" s="3" t="str">
        <f>IFERROR(VLOOKUP(C108,data!$A:$J,10,FALSE()),"")</f>
        <v/>
      </c>
      <c r="I108" s="3" t="str">
        <f>IFERROR(VLOOKUP(D108,data!$A:$J,10,FALSE()),"")</f>
        <v/>
      </c>
      <c r="J108" s="3" t="str">
        <f>IFERROR(VLOOKUP(E108,data!$A:$J,10,FALSE()),"")</f>
        <v/>
      </c>
      <c r="K108" s="3" t="str">
        <f>IFERROR(VLOOKUP(F108,data!$A:$J,10,FALSE()),"")</f>
        <v/>
      </c>
      <c r="L108" s="3" t="str">
        <f t="shared" si="3"/>
        <v>E53_G120</v>
      </c>
    </row>
    <row r="109" ht="15.75" customHeight="1">
      <c r="A109" s="1" t="s">
        <v>200</v>
      </c>
      <c r="B109" s="2" t="s">
        <v>201</v>
      </c>
      <c r="C109" s="3">
        <v>2643743</v>
      </c>
      <c r="G109" s="3" t="str">
        <f>IFERROR(VLOOKUP(B109,data!$A:$J,10,FALSE()),"")</f>
        <v>E53_G122</v>
      </c>
      <c r="H109" s="3" t="str">
        <f>IFERROR(VLOOKUP(C109,data!$A:$J,10,FALSE()),"")</f>
        <v>E53_G107</v>
      </c>
      <c r="I109" s="3" t="str">
        <f>IFERROR(VLOOKUP(D109,data!$A:$J,10,FALSE()),"")</f>
        <v/>
      </c>
      <c r="J109" s="3" t="str">
        <f>IFERROR(VLOOKUP(E109,data!$A:$J,10,FALSE()),"")</f>
        <v/>
      </c>
      <c r="K109" s="3" t="str">
        <f>IFERROR(VLOOKUP(F109,data!$A:$J,10,FALSE()),"")</f>
        <v/>
      </c>
      <c r="L109" s="3" t="str">
        <f t="shared" si="3"/>
        <v xml:space="preserve">E53_G122 E53_G107</v>
      </c>
    </row>
    <row r="110" ht="15.75" customHeight="1">
      <c r="A110" s="1" t="s">
        <v>202</v>
      </c>
      <c r="B110" s="2" t="s">
        <v>203</v>
      </c>
      <c r="C110" s="3">
        <v>5992500</v>
      </c>
      <c r="D110" s="3">
        <v>2643743</v>
      </c>
      <c r="E110" s="3">
        <v>5122432</v>
      </c>
      <c r="G110" s="3" t="str">
        <f>IFERROR(VLOOKUP(B110,data!$A:$J,10,FALSE()),"")</f>
        <v>E53_G125</v>
      </c>
      <c r="H110" s="3" t="str">
        <f>IFERROR(VLOOKUP(C110,data!$A:$J,10,FALSE()),"")</f>
        <v>E53_G92</v>
      </c>
      <c r="I110" s="3" t="str">
        <f>IFERROR(VLOOKUP(D110,data!$A:$J,10,FALSE()),"")</f>
        <v>E53_G107</v>
      </c>
      <c r="J110" s="3" t="str">
        <f>IFERROR(VLOOKUP(E110,data!$A:$J,10,FALSE()),"")</f>
        <v>E53_G84</v>
      </c>
      <c r="K110" s="3" t="str">
        <f>IFERROR(VLOOKUP(F110,data!$A:$J,10,FALSE()),"")</f>
        <v/>
      </c>
      <c r="L110" s="3" t="str">
        <f t="shared" si="3"/>
        <v xml:space="preserve">E53_G125 E53_G92 E53_G107 E53_G84</v>
      </c>
    </row>
    <row r="111" ht="15.75" customHeight="1">
      <c r="A111" s="1" t="s">
        <v>204</v>
      </c>
      <c r="B111" s="2" t="s">
        <v>72</v>
      </c>
      <c r="C111" s="3">
        <v>2761369</v>
      </c>
      <c r="G111" s="3" t="str">
        <f>IFERROR(VLOOKUP(B111,data!$A:$J,10,FALSE()),"")</f>
        <v>E53_G127</v>
      </c>
      <c r="H111" s="3" t="str">
        <f>IFERROR(VLOOKUP(C111,data!$A:$J,10,FALSE()),"")</f>
        <v>E53_G213</v>
      </c>
      <c r="I111" s="3" t="str">
        <f>IFERROR(VLOOKUP(D111,data!$A:$J,10,FALSE()),"")</f>
        <v/>
      </c>
      <c r="J111" s="3" t="str">
        <f>IFERROR(VLOOKUP(E111,data!$A:$J,10,FALSE()),"")</f>
        <v/>
      </c>
      <c r="K111" s="3" t="str">
        <f>IFERROR(VLOOKUP(F111,data!$A:$J,10,FALSE()),"")</f>
        <v/>
      </c>
      <c r="L111" s="3" t="str">
        <f t="shared" si="3"/>
        <v xml:space="preserve">E53_G127 E53_G213</v>
      </c>
    </row>
    <row r="112" ht="15.75" customHeight="1">
      <c r="A112" s="1" t="s">
        <v>205</v>
      </c>
      <c r="B112" s="2" t="s">
        <v>72</v>
      </c>
      <c r="C112" s="3">
        <v>2657896</v>
      </c>
      <c r="G112" s="3" t="str">
        <f>IFERROR(VLOOKUP(B112,data!$A:$J,10,FALSE()),"")</f>
        <v>E53_G127</v>
      </c>
      <c r="H112" s="3" t="str">
        <f>IFERROR(VLOOKUP(C112,data!$A:$J,10,FALSE()),"")</f>
        <v>E53_G233</v>
      </c>
      <c r="I112" s="3" t="str">
        <f>IFERROR(VLOOKUP(D112,data!$A:$J,10,FALSE()),"")</f>
        <v/>
      </c>
      <c r="J112" s="3" t="str">
        <f>IFERROR(VLOOKUP(E112,data!$A:$J,10,FALSE()),"")</f>
        <v/>
      </c>
      <c r="K112" s="3" t="str">
        <f>IFERROR(VLOOKUP(F112,data!$A:$J,10,FALSE()),"")</f>
        <v/>
      </c>
      <c r="L112" s="3" t="str">
        <f t="shared" si="3"/>
        <v xml:space="preserve">E53_G127 E53_G233</v>
      </c>
    </row>
    <row r="113" ht="15.75" customHeight="1">
      <c r="A113" s="1" t="s">
        <v>206</v>
      </c>
      <c r="B113" s="2" t="s">
        <v>207</v>
      </c>
      <c r="C113" s="3"/>
      <c r="G113" s="3" t="str">
        <f>IFERROR(VLOOKUP(B113,data!$A:$J,10,FALSE()),"")</f>
        <v>E53_G128</v>
      </c>
      <c r="H113" s="3" t="str">
        <f>IFERROR(VLOOKUP(C113,data!$A:$J,10,FALSE()),"")</f>
        <v/>
      </c>
      <c r="I113" s="3" t="str">
        <f>IFERROR(VLOOKUP(D113,data!$A:$J,10,FALSE()),"")</f>
        <v/>
      </c>
      <c r="J113" s="3" t="str">
        <f>IFERROR(VLOOKUP(E113,data!$A:$J,10,FALSE()),"")</f>
        <v/>
      </c>
      <c r="K113" s="3" t="str">
        <f>IFERROR(VLOOKUP(F113,data!$A:$J,10,FALSE()),"")</f>
        <v/>
      </c>
      <c r="L113" s="3" t="str">
        <f t="shared" si="3"/>
        <v>E53_G128</v>
      </c>
    </row>
    <row r="114" ht="15.75" customHeight="1">
      <c r="A114" s="1" t="s">
        <v>208</v>
      </c>
      <c r="B114" s="2" t="s">
        <v>9</v>
      </c>
      <c r="C114" s="3">
        <v>2640729</v>
      </c>
      <c r="G114" s="3" t="str">
        <f>IFERROR(VLOOKUP(B114,data!$A:$J,10,FALSE()),"")</f>
        <v>E53_G130</v>
      </c>
      <c r="H114" s="3" t="str">
        <f>IFERROR(VLOOKUP(C114,data!$A:$J,10,FALSE()),"")</f>
        <v>E53_G146</v>
      </c>
      <c r="I114" s="3" t="str">
        <f>IFERROR(VLOOKUP(D114,data!$A:$J,10,FALSE()),"")</f>
        <v/>
      </c>
      <c r="J114" s="3" t="str">
        <f>IFERROR(VLOOKUP(E114,data!$A:$J,10,FALSE()),"")</f>
        <v/>
      </c>
      <c r="K114" s="3" t="str">
        <f>IFERROR(VLOOKUP(F114,data!$A:$J,10,FALSE()),"")</f>
        <v/>
      </c>
      <c r="L114" s="3" t="str">
        <f t="shared" si="3"/>
        <v xml:space="preserve">E53_G130 E53_G146</v>
      </c>
    </row>
    <row r="115" ht="15.75" customHeight="1">
      <c r="A115" s="1" t="s">
        <v>209</v>
      </c>
      <c r="B115" s="2" t="s">
        <v>9</v>
      </c>
      <c r="C115" s="3">
        <v>5391811</v>
      </c>
      <c r="D115" s="3">
        <v>2643743</v>
      </c>
      <c r="G115" s="3" t="str">
        <f>IFERROR(VLOOKUP(B115,data!$A:$J,10,FALSE()),"")</f>
        <v>E53_G130</v>
      </c>
      <c r="H115" s="3" t="str">
        <f>IFERROR(VLOOKUP(C115,data!$A:$J,10,FALSE()),"")</f>
        <v>E53_G173</v>
      </c>
      <c r="I115" s="3" t="str">
        <f>IFERROR(VLOOKUP(D115,data!$A:$J,10,FALSE()),"")</f>
        <v>E53_G107</v>
      </c>
      <c r="J115" s="3" t="str">
        <f>IFERROR(VLOOKUP(E115,data!$A:$J,10,FALSE()),"")</f>
        <v/>
      </c>
      <c r="K115" s="3" t="str">
        <f>IFERROR(VLOOKUP(F115,data!$A:$J,10,FALSE()),"")</f>
        <v/>
      </c>
      <c r="L115" s="3" t="str">
        <f t="shared" si="3"/>
        <v xml:space="preserve">E53_G130 E53_G173 E53_G107</v>
      </c>
    </row>
    <row r="116" ht="15.75" customHeight="1">
      <c r="A116" s="1" t="s">
        <v>210</v>
      </c>
      <c r="B116" s="2" t="s">
        <v>211</v>
      </c>
      <c r="C116" s="3">
        <v>2643743</v>
      </c>
      <c r="G116" s="3" t="str">
        <f>IFERROR(VLOOKUP(B116,data!$A:$J,10,FALSE()),"")</f>
        <v>E53_G129</v>
      </c>
      <c r="H116" s="3" t="str">
        <f>IFERROR(VLOOKUP(C116,data!$A:$J,10,FALSE()),"")</f>
        <v>E53_G107</v>
      </c>
      <c r="I116" s="3" t="str">
        <f>IFERROR(VLOOKUP(D116,data!$A:$J,10,FALSE()),"")</f>
        <v/>
      </c>
      <c r="J116" s="3" t="str">
        <f>IFERROR(VLOOKUP(E116,data!$A:$J,10,FALSE()),"")</f>
        <v/>
      </c>
      <c r="K116" s="3" t="str">
        <f>IFERROR(VLOOKUP(F116,data!$A:$J,10,FALSE()),"")</f>
        <v/>
      </c>
      <c r="L116" s="3" t="str">
        <f t="shared" si="3"/>
        <v xml:space="preserve">E53_G129 E53_G107</v>
      </c>
    </row>
    <row r="117" ht="15.75" customHeight="1">
      <c r="A117" s="1" t="s">
        <v>212</v>
      </c>
      <c r="B117" s="2" t="s">
        <v>213</v>
      </c>
      <c r="C117" s="3"/>
      <c r="G117" s="3" t="str">
        <f>IFERROR(VLOOKUP(B117,data!$A:$J,10,FALSE()),"")</f>
        <v>E53_G133</v>
      </c>
      <c r="H117" s="3" t="str">
        <f>IFERROR(VLOOKUP(C117,data!$A:$J,10,FALSE()),"")</f>
        <v/>
      </c>
      <c r="I117" s="3" t="str">
        <f>IFERROR(VLOOKUP(D117,data!$A:$J,10,FALSE()),"")</f>
        <v/>
      </c>
      <c r="J117" s="3" t="str">
        <f>IFERROR(VLOOKUP(E117,data!$A:$J,10,FALSE()),"")</f>
        <v/>
      </c>
      <c r="K117" s="3" t="str">
        <f>IFERROR(VLOOKUP(F117,data!$A:$J,10,FALSE()),"")</f>
        <v/>
      </c>
      <c r="L117" s="3" t="str">
        <f t="shared" si="3"/>
        <v>E53_G133</v>
      </c>
    </row>
    <row r="118" ht="15.75" customHeight="1">
      <c r="A118" s="1" t="s">
        <v>214</v>
      </c>
      <c r="B118" s="2" t="s">
        <v>215</v>
      </c>
      <c r="C118" s="3"/>
      <c r="G118" s="3" t="str">
        <f>IFERROR(VLOOKUP(B118,data!$A:$J,10,FALSE()),"")</f>
        <v>E53_G134</v>
      </c>
      <c r="H118" s="3" t="str">
        <f>IFERROR(VLOOKUP(C118,data!$A:$J,10,FALSE()),"")</f>
        <v/>
      </c>
      <c r="I118" s="3" t="str">
        <f>IFERROR(VLOOKUP(D118,data!$A:$J,10,FALSE()),"")</f>
        <v/>
      </c>
      <c r="J118" s="3" t="str">
        <f>IFERROR(VLOOKUP(E118,data!$A:$J,10,FALSE()),"")</f>
        <v/>
      </c>
      <c r="K118" s="3" t="str">
        <f>IFERROR(VLOOKUP(F118,data!$A:$J,10,FALSE()),"")</f>
        <v/>
      </c>
      <c r="L118" s="3" t="str">
        <f t="shared" si="3"/>
        <v>E53_G134</v>
      </c>
    </row>
    <row r="119" ht="15.75" customHeight="1">
      <c r="A119" s="1" t="s">
        <v>216</v>
      </c>
      <c r="B119" s="2" t="s">
        <v>217</v>
      </c>
      <c r="C119" s="3"/>
      <c r="G119" s="3" t="str">
        <f>IFERROR(VLOOKUP(B119,data!$A:$J,10,FALSE()),"")</f>
        <v>E53_G140</v>
      </c>
      <c r="H119" s="3" t="str">
        <f>IFERROR(VLOOKUP(C119,data!$A:$J,10,FALSE()),"")</f>
        <v/>
      </c>
      <c r="I119" s="3" t="str">
        <f>IFERROR(VLOOKUP(D119,data!$A:$J,10,FALSE()),"")</f>
        <v/>
      </c>
      <c r="J119" s="3" t="str">
        <f>IFERROR(VLOOKUP(E119,data!$A:$J,10,FALSE()),"")</f>
        <v/>
      </c>
      <c r="K119" s="3" t="str">
        <f>IFERROR(VLOOKUP(F119,data!$A:$J,10,FALSE()),"")</f>
        <v/>
      </c>
      <c r="L119" s="3" t="str">
        <f t="shared" si="3"/>
        <v>E53_G140</v>
      </c>
    </row>
    <row r="120" ht="15.75" customHeight="1">
      <c r="A120" s="1" t="s">
        <v>218</v>
      </c>
      <c r="B120" s="2" t="s">
        <v>219</v>
      </c>
      <c r="C120" s="3"/>
      <c r="G120" s="3" t="str">
        <f>IFERROR(VLOOKUP(B120,data!$A:$J,10,FALSE()),"")</f>
        <v>E53_G141</v>
      </c>
      <c r="H120" s="3" t="str">
        <f>IFERROR(VLOOKUP(C120,data!$A:$J,10,FALSE()),"")</f>
        <v/>
      </c>
      <c r="I120" s="3" t="str">
        <f>IFERROR(VLOOKUP(D120,data!$A:$J,10,FALSE()),"")</f>
        <v/>
      </c>
      <c r="J120" s="3" t="str">
        <f>IFERROR(VLOOKUP(E120,data!$A:$J,10,FALSE()),"")</f>
        <v/>
      </c>
      <c r="K120" s="3" t="str">
        <f>IFERROR(VLOOKUP(F120,data!$A:$J,10,FALSE()),"")</f>
        <v/>
      </c>
      <c r="L120" s="3" t="str">
        <f t="shared" si="3"/>
        <v>E53_G141</v>
      </c>
    </row>
    <row r="121" ht="15.75" customHeight="1">
      <c r="A121" s="1" t="s">
        <v>220</v>
      </c>
      <c r="B121" s="2" t="s">
        <v>221</v>
      </c>
      <c r="C121" s="3"/>
      <c r="G121" s="3" t="str">
        <f>IFERROR(VLOOKUP(B121,data!$A:$J,10,FALSE()),"")</f>
        <v>E53_G142</v>
      </c>
      <c r="H121" s="3" t="str">
        <f>IFERROR(VLOOKUP(C121,data!$A:$J,10,FALSE()),"")</f>
        <v/>
      </c>
      <c r="I121" s="3" t="str">
        <f>IFERROR(VLOOKUP(D121,data!$A:$J,10,FALSE()),"")</f>
        <v/>
      </c>
      <c r="J121" s="3" t="str">
        <f>IFERROR(VLOOKUP(E121,data!$A:$J,10,FALSE()),"")</f>
        <v/>
      </c>
      <c r="K121" s="3" t="str">
        <f>IFERROR(VLOOKUP(F121,data!$A:$J,10,FALSE()),"")</f>
        <v/>
      </c>
      <c r="L121" s="3" t="str">
        <f t="shared" si="3"/>
        <v>E53_G142</v>
      </c>
    </row>
    <row r="122" ht="15.75" customHeight="1">
      <c r="A122" s="1" t="s">
        <v>222</v>
      </c>
      <c r="B122" s="2" t="s">
        <v>223</v>
      </c>
      <c r="C122" s="3"/>
      <c r="G122" s="3" t="str">
        <f>IFERROR(VLOOKUP(B122,data!$A:$J,10,FALSE()),"")</f>
        <v>E53_G143</v>
      </c>
      <c r="H122" s="3" t="str">
        <f>IFERROR(VLOOKUP(C122,data!$A:$J,10,FALSE()),"")</f>
        <v/>
      </c>
      <c r="I122" s="3" t="str">
        <f>IFERROR(VLOOKUP(D122,data!$A:$J,10,FALSE()),"")</f>
        <v/>
      </c>
      <c r="J122" s="3" t="str">
        <f>IFERROR(VLOOKUP(E122,data!$A:$J,10,FALSE()),"")</f>
        <v/>
      </c>
      <c r="K122" s="3" t="str">
        <f>IFERROR(VLOOKUP(F122,data!$A:$J,10,FALSE()),"")</f>
        <v/>
      </c>
      <c r="L122" s="3" t="str">
        <f t="shared" si="3"/>
        <v>E53_G143</v>
      </c>
    </row>
    <row r="123" ht="15.75" customHeight="1">
      <c r="A123" s="1" t="s">
        <v>224</v>
      </c>
      <c r="B123" s="2" t="s">
        <v>225</v>
      </c>
      <c r="C123" s="3"/>
      <c r="G123" s="3" t="str">
        <f>IFERROR(VLOOKUP(B123,data!$A:$J,10,FALSE()),"")</f>
        <v>E53_G145</v>
      </c>
      <c r="H123" s="3" t="str">
        <f>IFERROR(VLOOKUP(C123,data!$A:$J,10,FALSE()),"")</f>
        <v/>
      </c>
      <c r="I123" s="3" t="str">
        <f>IFERROR(VLOOKUP(D123,data!$A:$J,10,FALSE()),"")</f>
        <v/>
      </c>
      <c r="J123" s="3" t="str">
        <f>IFERROR(VLOOKUP(E123,data!$A:$J,10,FALSE()),"")</f>
        <v/>
      </c>
      <c r="K123" s="3" t="str">
        <f>IFERROR(VLOOKUP(F123,data!$A:$J,10,FALSE()),"")</f>
        <v/>
      </c>
      <c r="L123" s="3" t="str">
        <f t="shared" si="3"/>
        <v>E53_G145</v>
      </c>
    </row>
    <row r="124" ht="15.75" customHeight="1">
      <c r="A124" s="1" t="s">
        <v>226</v>
      </c>
      <c r="B124" s="2" t="s">
        <v>227</v>
      </c>
      <c r="C124" s="3"/>
      <c r="G124" s="3" t="str">
        <f>IFERROR(VLOOKUP(B124,data!$A:$J,10,FALSE()),"")</f>
        <v>E53_G146</v>
      </c>
      <c r="H124" s="3" t="str">
        <f>IFERROR(VLOOKUP(C124,data!$A:$J,10,FALSE()),"")</f>
        <v/>
      </c>
      <c r="I124" s="3" t="str">
        <f>IFERROR(VLOOKUP(D124,data!$A:$J,10,FALSE()),"")</f>
        <v/>
      </c>
      <c r="J124" s="3" t="str">
        <f>IFERROR(VLOOKUP(E124,data!$A:$J,10,FALSE()),"")</f>
        <v/>
      </c>
      <c r="K124" s="3" t="str">
        <f>IFERROR(VLOOKUP(F124,data!$A:$J,10,FALSE()),"")</f>
        <v/>
      </c>
      <c r="L124" s="3" t="str">
        <f t="shared" si="3"/>
        <v>E53_G146</v>
      </c>
    </row>
    <row r="125" ht="15.75" customHeight="1">
      <c r="A125" s="1" t="s">
        <v>228</v>
      </c>
      <c r="B125" s="2" t="s">
        <v>229</v>
      </c>
      <c r="C125" s="3"/>
      <c r="G125" s="3" t="str">
        <f>IFERROR(VLOOKUP(B125,data!$A:$J,10,FALSE()),"")</f>
        <v>E53_G156</v>
      </c>
      <c r="H125" s="3" t="str">
        <f>IFERROR(VLOOKUP(C125,data!$A:$J,10,FALSE()),"")</f>
        <v/>
      </c>
      <c r="I125" s="3" t="str">
        <f>IFERROR(VLOOKUP(D125,data!$A:$J,10,FALSE()),"")</f>
        <v/>
      </c>
      <c r="J125" s="3" t="str">
        <f>IFERROR(VLOOKUP(E125,data!$A:$J,10,FALSE()),"")</f>
        <v/>
      </c>
      <c r="K125" s="3" t="str">
        <f>IFERROR(VLOOKUP(F125,data!$A:$J,10,FALSE()),"")</f>
        <v/>
      </c>
      <c r="L125" s="3" t="str">
        <f t="shared" si="3"/>
        <v>E53_G156</v>
      </c>
    </row>
    <row r="126" ht="15.75" customHeight="1">
      <c r="A126" s="1" t="s">
        <v>230</v>
      </c>
      <c r="B126" s="2" t="s">
        <v>37</v>
      </c>
      <c r="C126" s="3"/>
      <c r="G126" s="3" t="str">
        <f>IFERROR(VLOOKUP(B126,data!$A:$J,10,FALSE()),"")</f>
        <v>E53_G157</v>
      </c>
      <c r="H126" s="3" t="str">
        <f>IFERROR(VLOOKUP(C126,data!$A:$J,10,FALSE()),"")</f>
        <v/>
      </c>
      <c r="I126" s="3" t="str">
        <f>IFERROR(VLOOKUP(D126,data!$A:$J,10,FALSE()),"")</f>
        <v/>
      </c>
      <c r="J126" s="3" t="str">
        <f>IFERROR(VLOOKUP(E126,data!$A:$J,10,FALSE()),"")</f>
        <v/>
      </c>
      <c r="K126" s="3" t="str">
        <f>IFERROR(VLOOKUP(F126,data!$A:$J,10,FALSE()),"")</f>
        <v/>
      </c>
      <c r="L126" s="3" t="str">
        <f t="shared" si="3"/>
        <v>E53_G157</v>
      </c>
    </row>
    <row r="127" ht="15.75" customHeight="1">
      <c r="A127" s="1" t="s">
        <v>231</v>
      </c>
      <c r="B127" s="2" t="s">
        <v>232</v>
      </c>
      <c r="C127" s="3"/>
      <c r="G127" s="3" t="str">
        <f>IFERROR(VLOOKUP(B127,data!$A:$J,10,FALSE()),"")</f>
        <v>E53_G159</v>
      </c>
      <c r="H127" s="3" t="str">
        <f>IFERROR(VLOOKUP(C127,data!$A:$J,10,FALSE()),"")</f>
        <v/>
      </c>
      <c r="I127" s="3" t="str">
        <f>IFERROR(VLOOKUP(D127,data!$A:$J,10,FALSE()),"")</f>
        <v/>
      </c>
      <c r="J127" s="3" t="str">
        <f>IFERROR(VLOOKUP(E127,data!$A:$J,10,FALSE()),"")</f>
        <v/>
      </c>
      <c r="K127" s="3" t="str">
        <f>IFERROR(VLOOKUP(F127,data!$A:$J,10,FALSE()),"")</f>
        <v/>
      </c>
      <c r="L127" s="3" t="str">
        <f t="shared" si="3"/>
        <v>E53_G159</v>
      </c>
    </row>
    <row r="128" ht="15.75" customHeight="1">
      <c r="A128" s="1" t="s">
        <v>233</v>
      </c>
      <c r="B128" s="2" t="s">
        <v>234</v>
      </c>
      <c r="C128" s="3"/>
      <c r="G128" s="3" t="str">
        <f>IFERROR(VLOOKUP(B128,data!$A:$J,10,FALSE()),"")</f>
        <v>E53_G165</v>
      </c>
      <c r="H128" s="3" t="str">
        <f>IFERROR(VLOOKUP(C128,data!$A:$J,10,FALSE()),"")</f>
        <v/>
      </c>
      <c r="I128" s="3" t="str">
        <f>IFERROR(VLOOKUP(D128,data!$A:$J,10,FALSE()),"")</f>
        <v/>
      </c>
      <c r="J128" s="3" t="str">
        <f>IFERROR(VLOOKUP(E128,data!$A:$J,10,FALSE()),"")</f>
        <v/>
      </c>
      <c r="K128" s="3" t="str">
        <f>IFERROR(VLOOKUP(F128,data!$A:$J,10,FALSE()),"")</f>
        <v/>
      </c>
      <c r="L128" s="3" t="str">
        <f t="shared" si="3"/>
        <v>E53_G165</v>
      </c>
    </row>
    <row r="129" ht="15.75" customHeight="1">
      <c r="A129" s="1" t="s">
        <v>235</v>
      </c>
      <c r="B129" s="2" t="s">
        <v>236</v>
      </c>
      <c r="C129" s="3"/>
      <c r="G129" s="3" t="str">
        <f>IFERROR(VLOOKUP(B129,data!$A:$J,10,FALSE()),"")</f>
        <v>E53_G166</v>
      </c>
      <c r="H129" s="3" t="str">
        <f>IFERROR(VLOOKUP(C129,data!$A:$J,10,FALSE()),"")</f>
        <v/>
      </c>
      <c r="I129" s="3" t="str">
        <f>IFERROR(VLOOKUP(D129,data!$A:$J,10,FALSE()),"")</f>
        <v/>
      </c>
      <c r="J129" s="3" t="str">
        <f>IFERROR(VLOOKUP(E129,data!$A:$J,10,FALSE()),"")</f>
        <v/>
      </c>
      <c r="K129" s="3" t="str">
        <f>IFERROR(VLOOKUP(F129,data!$A:$J,10,FALSE()),"")</f>
        <v/>
      </c>
      <c r="L129" s="3" t="str">
        <f t="shared" si="3"/>
        <v>E53_G166</v>
      </c>
    </row>
    <row r="130" ht="15.75" customHeight="1">
      <c r="A130" s="1" t="s">
        <v>237</v>
      </c>
      <c r="B130" s="2" t="s">
        <v>236</v>
      </c>
      <c r="C130" s="3"/>
      <c r="G130" s="3" t="str">
        <f>IFERROR(VLOOKUP(B130,data!$A:$J,10,FALSE()),"")</f>
        <v>E53_G166</v>
      </c>
      <c r="H130" s="3" t="str">
        <f>IFERROR(VLOOKUP(C130,data!$A:$J,10,FALSE()),"")</f>
        <v/>
      </c>
      <c r="I130" s="3" t="str">
        <f>IFERROR(VLOOKUP(D130,data!$A:$J,10,FALSE()),"")</f>
        <v/>
      </c>
      <c r="J130" s="3" t="str">
        <f>IFERROR(VLOOKUP(E130,data!$A:$J,10,FALSE()),"")</f>
        <v/>
      </c>
      <c r="K130" s="3" t="str">
        <f>IFERROR(VLOOKUP(F130,data!$A:$J,10,FALSE()),"")</f>
        <v/>
      </c>
      <c r="L130" s="3" t="str">
        <f t="shared" si="3"/>
        <v>E53_G166</v>
      </c>
    </row>
    <row r="131" ht="15.75" customHeight="1">
      <c r="A131" s="1" t="s">
        <v>238</v>
      </c>
      <c r="B131" s="2" t="s">
        <v>101</v>
      </c>
      <c r="C131" s="3"/>
      <c r="G131" s="3" t="str">
        <f>IFERROR(VLOOKUP(B131,data!$A:$J,10,FALSE()),"")</f>
        <v>E53_G163</v>
      </c>
      <c r="H131" s="3" t="str">
        <f>IFERROR(VLOOKUP(C131,data!$A:$J,10,FALSE()),"")</f>
        <v/>
      </c>
      <c r="I131" s="3" t="str">
        <f>IFERROR(VLOOKUP(D131,data!$A:$J,10,FALSE()),"")</f>
        <v/>
      </c>
      <c r="J131" s="3" t="str">
        <f>IFERROR(VLOOKUP(E131,data!$A:$J,10,FALSE()),"")</f>
        <v/>
      </c>
      <c r="K131" s="3" t="str">
        <f>IFERROR(VLOOKUP(F131,data!$A:$J,10,FALSE()),"")</f>
        <v/>
      </c>
      <c r="L131" s="3" t="str">
        <f t="shared" si="3"/>
        <v>E53_G163</v>
      </c>
    </row>
    <row r="132" ht="15.75" customHeight="1">
      <c r="A132" s="1" t="s">
        <v>239</v>
      </c>
      <c r="B132" s="2" t="s">
        <v>240</v>
      </c>
      <c r="C132" s="3"/>
      <c r="G132" s="3" t="str">
        <f>IFERROR(VLOOKUP(B132,data!$A:$J,10,FALSE()),"")</f>
        <v>E53_G178</v>
      </c>
      <c r="H132" s="3" t="str">
        <f>IFERROR(VLOOKUP(C132,data!$A:$J,10,FALSE()),"")</f>
        <v/>
      </c>
      <c r="I132" s="3" t="str">
        <f>IFERROR(VLOOKUP(D132,data!$A:$J,10,FALSE()),"")</f>
        <v/>
      </c>
      <c r="J132" s="3" t="str">
        <f>IFERROR(VLOOKUP(E132,data!$A:$J,10,FALSE()),"")</f>
        <v/>
      </c>
      <c r="K132" s="3" t="str">
        <f>IFERROR(VLOOKUP(F132,data!$A:$J,10,FALSE()),"")</f>
        <v/>
      </c>
      <c r="L132" s="3" t="str">
        <f t="shared" si="3"/>
        <v>E53_G178</v>
      </c>
    </row>
    <row r="133" ht="15.75" customHeight="1">
      <c r="A133" s="1" t="s">
        <v>241</v>
      </c>
      <c r="B133" s="2" t="s">
        <v>242</v>
      </c>
      <c r="C133" s="3"/>
      <c r="G133" s="3" t="str">
        <f>IFERROR(VLOOKUP(B133,data!$A:$J,10,FALSE()),"")</f>
        <v>E53_G181</v>
      </c>
      <c r="H133" s="3" t="str">
        <f>IFERROR(VLOOKUP(C133,data!$A:$J,10,FALSE()),"")</f>
        <v/>
      </c>
      <c r="I133" s="3" t="str">
        <f>IFERROR(VLOOKUP(D133,data!$A:$J,10,FALSE()),"")</f>
        <v/>
      </c>
      <c r="J133" s="3" t="str">
        <f>IFERROR(VLOOKUP(E133,data!$A:$J,10,FALSE()),"")</f>
        <v/>
      </c>
      <c r="K133" s="3" t="str">
        <f>IFERROR(VLOOKUP(F133,data!$A:$J,10,FALSE()),"")</f>
        <v/>
      </c>
      <c r="L133" s="3" t="str">
        <f t="shared" si="3"/>
        <v>E53_G181</v>
      </c>
    </row>
    <row r="134" ht="15.75" customHeight="1">
      <c r="A134" s="1" t="s">
        <v>243</v>
      </c>
      <c r="B134" s="2" t="s">
        <v>170</v>
      </c>
      <c r="C134" s="3"/>
      <c r="G134" s="3" t="str">
        <f>IFERROR(VLOOKUP(B134,data!$A:$J,10,FALSE()),"")</f>
        <v>E53_G87</v>
      </c>
      <c r="H134" s="3" t="str">
        <f>IFERROR(VLOOKUP(C134,data!$A:$J,10,FALSE()),"")</f>
        <v/>
      </c>
      <c r="I134" s="3" t="str">
        <f>IFERROR(VLOOKUP(D134,data!$A:$J,10,FALSE()),"")</f>
        <v/>
      </c>
      <c r="J134" s="3" t="str">
        <f>IFERROR(VLOOKUP(E134,data!$A:$J,10,FALSE()),"")</f>
        <v/>
      </c>
      <c r="K134" s="3" t="str">
        <f>IFERROR(VLOOKUP(F134,data!$A:$J,10,FALSE()),"")</f>
        <v/>
      </c>
      <c r="L134" s="3" t="str">
        <f t="shared" si="3"/>
        <v>E53_G87</v>
      </c>
    </row>
    <row r="135" ht="15.75" customHeight="1">
      <c r="A135" s="1" t="s">
        <v>244</v>
      </c>
      <c r="B135" s="2" t="s">
        <v>245</v>
      </c>
      <c r="C135" s="3"/>
      <c r="G135" s="3" t="str">
        <f>IFERROR(VLOOKUP(B135,data!$A:$J,10,FALSE()),"")</f>
        <v>E53_G185</v>
      </c>
      <c r="H135" s="3" t="str">
        <f>IFERROR(VLOOKUP(C135,data!$A:$J,10,FALSE()),"")</f>
        <v/>
      </c>
      <c r="I135" s="3" t="str">
        <f>IFERROR(VLOOKUP(D135,data!$A:$J,10,FALSE()),"")</f>
        <v/>
      </c>
      <c r="J135" s="3" t="str">
        <f>IFERROR(VLOOKUP(E135,data!$A:$J,10,FALSE()),"")</f>
        <v/>
      </c>
      <c r="K135" s="3" t="str">
        <f>IFERROR(VLOOKUP(F135,data!$A:$J,10,FALSE()),"")</f>
        <v/>
      </c>
      <c r="L135" s="3" t="str">
        <f t="shared" si="3"/>
        <v>E53_G185</v>
      </c>
    </row>
    <row r="136" ht="15.75" customHeight="1">
      <c r="A136" s="1" t="s">
        <v>246</v>
      </c>
      <c r="B136" s="2" t="s">
        <v>247</v>
      </c>
      <c r="C136" s="3"/>
      <c r="G136" s="3" t="str">
        <f>IFERROR(VLOOKUP(B136,data!$A:$J,10,FALSE()),"")</f>
        <v>E53_G186</v>
      </c>
      <c r="H136" s="3" t="str">
        <f>IFERROR(VLOOKUP(C136,data!$A:$J,10,FALSE()),"")</f>
        <v/>
      </c>
      <c r="I136" s="3" t="str">
        <f>IFERROR(VLOOKUP(D136,data!$A:$J,10,FALSE()),"")</f>
        <v/>
      </c>
      <c r="J136" s="3" t="str">
        <f>IFERROR(VLOOKUP(E136,data!$A:$J,10,FALSE()),"")</f>
        <v/>
      </c>
      <c r="K136" s="3" t="str">
        <f>IFERROR(VLOOKUP(F136,data!$A:$J,10,FALSE()),"")</f>
        <v/>
      </c>
      <c r="L136" s="3" t="str">
        <f t="shared" si="3"/>
        <v>E53_G186</v>
      </c>
    </row>
    <row r="137" ht="15.75" customHeight="1">
      <c r="A137" s="1" t="s">
        <v>248</v>
      </c>
      <c r="B137" s="2" t="s">
        <v>249</v>
      </c>
      <c r="C137" s="3"/>
      <c r="G137" s="3" t="str">
        <f>IFERROR(VLOOKUP(B137,data!$A:$J,10,FALSE()),"")</f>
        <v>E53_G190</v>
      </c>
      <c r="H137" s="3" t="str">
        <f>IFERROR(VLOOKUP(C137,data!$A:$J,10,FALSE()),"")</f>
        <v/>
      </c>
      <c r="I137" s="3" t="str">
        <f>IFERROR(VLOOKUP(D137,data!$A:$J,10,FALSE()),"")</f>
        <v/>
      </c>
      <c r="J137" s="3" t="str">
        <f>IFERROR(VLOOKUP(E137,data!$A:$J,10,FALSE()),"")</f>
        <v/>
      </c>
      <c r="K137" s="3" t="str">
        <f>IFERROR(VLOOKUP(F137,data!$A:$J,10,FALSE()),"")</f>
        <v/>
      </c>
      <c r="L137" s="3" t="str">
        <f t="shared" si="3"/>
        <v>E53_G190</v>
      </c>
    </row>
    <row r="138" ht="15.75" customHeight="1">
      <c r="A138" s="1" t="s">
        <v>250</v>
      </c>
      <c r="B138" s="2" t="s">
        <v>251</v>
      </c>
      <c r="C138" s="3"/>
      <c r="G138" s="3" t="str">
        <f>IFERROR(VLOOKUP(B138,data!$A:$J,10,FALSE()),"")</f>
        <v>E53_G191</v>
      </c>
      <c r="H138" s="3" t="str">
        <f>IFERROR(VLOOKUP(C138,data!$A:$J,10,FALSE()),"")</f>
        <v/>
      </c>
      <c r="I138" s="3" t="str">
        <f>IFERROR(VLOOKUP(D138,data!$A:$J,10,FALSE()),"")</f>
        <v/>
      </c>
      <c r="J138" s="3" t="str">
        <f>IFERROR(VLOOKUP(E138,data!$A:$J,10,FALSE()),"")</f>
        <v/>
      </c>
      <c r="K138" s="3" t="str">
        <f>IFERROR(VLOOKUP(F138,data!$A:$J,10,FALSE()),"")</f>
        <v/>
      </c>
      <c r="L138" s="3" t="str">
        <f t="shared" si="3"/>
        <v>E53_G191</v>
      </c>
    </row>
    <row r="139" ht="15.75" customHeight="1">
      <c r="A139" s="1" t="s">
        <v>252</v>
      </c>
      <c r="B139" s="2" t="s">
        <v>253</v>
      </c>
      <c r="C139" s="3"/>
      <c r="G139" s="3" t="str">
        <f>IFERROR(VLOOKUP(B139,data!$A:$J,10,FALSE()),"")</f>
        <v>E53_G175</v>
      </c>
      <c r="H139" s="3" t="str">
        <f>IFERROR(VLOOKUP(C139,data!$A:$J,10,FALSE()),"")</f>
        <v/>
      </c>
      <c r="I139" s="3" t="str">
        <f>IFERROR(VLOOKUP(D139,data!$A:$J,10,FALSE()),"")</f>
        <v/>
      </c>
      <c r="J139" s="3" t="str">
        <f>IFERROR(VLOOKUP(E139,data!$A:$J,10,FALSE()),"")</f>
        <v/>
      </c>
      <c r="K139" s="3" t="str">
        <f>IFERROR(VLOOKUP(F139,data!$A:$J,10,FALSE()),"")</f>
        <v/>
      </c>
      <c r="L139" s="3" t="str">
        <f t="shared" si="3"/>
        <v>E53_G175</v>
      </c>
    </row>
    <row r="140" ht="15.75" customHeight="1">
      <c r="A140" s="1" t="s">
        <v>254</v>
      </c>
      <c r="B140" s="2" t="s">
        <v>255</v>
      </c>
      <c r="C140" s="3"/>
      <c r="G140" s="3" t="str">
        <f>IFERROR(VLOOKUP(B140,data!$A:$J,10,FALSE()),"")</f>
        <v>E53_G192</v>
      </c>
      <c r="H140" s="3" t="str">
        <f>IFERROR(VLOOKUP(C140,data!$A:$J,10,FALSE()),"")</f>
        <v/>
      </c>
      <c r="I140" s="3" t="str">
        <f>IFERROR(VLOOKUP(D140,data!$A:$J,10,FALSE()),"")</f>
        <v/>
      </c>
      <c r="J140" s="3" t="str">
        <f>IFERROR(VLOOKUP(E140,data!$A:$J,10,FALSE()),"")</f>
        <v/>
      </c>
      <c r="K140" s="3" t="str">
        <f>IFERROR(VLOOKUP(F140,data!$A:$J,10,FALSE()),"")</f>
        <v/>
      </c>
      <c r="L140" s="3" t="str">
        <f t="shared" si="3"/>
        <v>E53_G192</v>
      </c>
    </row>
    <row r="141" ht="15.75" customHeight="1">
      <c r="A141" s="1" t="s">
        <v>256</v>
      </c>
      <c r="B141" s="2" t="s">
        <v>257</v>
      </c>
      <c r="C141" s="3"/>
      <c r="G141" s="3" t="str">
        <f>IFERROR(VLOOKUP(B141,data!$A:$J,10,FALSE()),"")</f>
        <v>E53_G197</v>
      </c>
      <c r="H141" s="3" t="str">
        <f>IFERROR(VLOOKUP(C141,data!$A:$J,10,FALSE()),"")</f>
        <v/>
      </c>
      <c r="I141" s="3" t="str">
        <f>IFERROR(VLOOKUP(D141,data!$A:$J,10,FALSE()),"")</f>
        <v/>
      </c>
      <c r="J141" s="3" t="str">
        <f>IFERROR(VLOOKUP(E141,data!$A:$J,10,FALSE()),"")</f>
        <v/>
      </c>
      <c r="K141" s="3" t="str">
        <f>IFERROR(VLOOKUP(F141,data!$A:$J,10,FALSE()),"")</f>
        <v/>
      </c>
      <c r="L141" s="3" t="str">
        <f t="shared" si="3"/>
        <v>E53_G197</v>
      </c>
    </row>
    <row r="142" ht="15.75" customHeight="1">
      <c r="A142" s="1" t="s">
        <v>258</v>
      </c>
      <c r="B142" s="2" t="s">
        <v>259</v>
      </c>
      <c r="C142" s="3">
        <v>4258273</v>
      </c>
      <c r="G142" s="3" t="str">
        <f>IFERROR(VLOOKUP(B142,data!$A:$J,10,FALSE()),"")</f>
        <v>E53_G201</v>
      </c>
      <c r="H142" s="3" t="str">
        <f>IFERROR(VLOOKUP(C142,data!$A:$J,10,FALSE()),"")</f>
        <v>E53_G72</v>
      </c>
      <c r="I142" s="3" t="str">
        <f>IFERROR(VLOOKUP(D142,data!$A:$J,10,FALSE()),"")</f>
        <v/>
      </c>
      <c r="J142" s="3" t="str">
        <f>IFERROR(VLOOKUP(E142,data!$A:$J,10,FALSE()),"")</f>
        <v/>
      </c>
      <c r="K142" s="3" t="str">
        <f>IFERROR(VLOOKUP(F142,data!$A:$J,10,FALSE()),"")</f>
        <v/>
      </c>
      <c r="L142" s="3" t="str">
        <f t="shared" si="3"/>
        <v xml:space="preserve">E53_G201 E53_G72</v>
      </c>
    </row>
    <row r="143" ht="15.75" customHeight="1">
      <c r="A143" s="1" t="s">
        <v>260</v>
      </c>
      <c r="B143" s="2" t="s">
        <v>261</v>
      </c>
      <c r="C143" s="3"/>
      <c r="G143" s="3" t="str">
        <f>IFERROR(VLOOKUP(B143,data!$A:$J,10,FALSE()),"")</f>
        <v>E53_G209</v>
      </c>
      <c r="H143" s="3" t="str">
        <f>IFERROR(VLOOKUP(C143,data!$A:$J,10,FALSE()),"")</f>
        <v/>
      </c>
      <c r="I143" s="3" t="str">
        <f>IFERROR(VLOOKUP(D143,data!$A:$J,10,FALSE()),"")</f>
        <v/>
      </c>
      <c r="J143" s="3" t="str">
        <f>IFERROR(VLOOKUP(E143,data!$A:$J,10,FALSE()),"")</f>
        <v/>
      </c>
      <c r="K143" s="3" t="str">
        <f>IFERROR(VLOOKUP(F143,data!$A:$J,10,FALSE()),"")</f>
        <v/>
      </c>
      <c r="L143" s="3" t="str">
        <f t="shared" si="3"/>
        <v>E53_G209</v>
      </c>
    </row>
    <row r="144" ht="15.75" customHeight="1">
      <c r="A144" s="1" t="s">
        <v>262</v>
      </c>
      <c r="B144" s="2" t="s">
        <v>263</v>
      </c>
      <c r="C144" s="3"/>
      <c r="G144" s="3" t="str">
        <f>IFERROR(VLOOKUP(B144,data!$A:$J,10,FALSE()),"")</f>
        <v>E53_G205</v>
      </c>
      <c r="H144" s="3" t="str">
        <f>IFERROR(VLOOKUP(C144,data!$A:$J,10,FALSE()),"")</f>
        <v/>
      </c>
      <c r="I144" s="3" t="str">
        <f>IFERROR(VLOOKUP(D144,data!$A:$J,10,FALSE()),"")</f>
        <v/>
      </c>
      <c r="J144" s="3" t="str">
        <f>IFERROR(VLOOKUP(E144,data!$A:$J,10,FALSE()),"")</f>
        <v/>
      </c>
      <c r="K144" s="3" t="str">
        <f>IFERROR(VLOOKUP(F144,data!$A:$J,10,FALSE()),"")</f>
        <v/>
      </c>
      <c r="L144" s="3" t="str">
        <f t="shared" si="3"/>
        <v>E53_G205</v>
      </c>
    </row>
    <row r="145" ht="15.75" customHeight="1">
      <c r="A145" s="1" t="s">
        <v>264</v>
      </c>
      <c r="B145" s="2" t="s">
        <v>265</v>
      </c>
      <c r="C145" s="3"/>
      <c r="G145" s="3" t="str">
        <f>IFERROR(VLOOKUP(B145,data!$A:$J,10,FALSE()),"")</f>
        <v>E53_G207</v>
      </c>
      <c r="H145" s="3" t="str">
        <f>IFERROR(VLOOKUP(C145,data!$A:$J,10,FALSE()),"")</f>
        <v/>
      </c>
      <c r="I145" s="3" t="str">
        <f>IFERROR(VLOOKUP(D145,data!$A:$J,10,FALSE()),"")</f>
        <v/>
      </c>
      <c r="J145" s="3" t="str">
        <f>IFERROR(VLOOKUP(E145,data!$A:$J,10,FALSE()),"")</f>
        <v/>
      </c>
      <c r="K145" s="3" t="str">
        <f>IFERROR(VLOOKUP(F145,data!$A:$J,10,FALSE()),"")</f>
        <v/>
      </c>
      <c r="L145" s="3" t="str">
        <f t="shared" si="3"/>
        <v>E53_G207</v>
      </c>
    </row>
    <row r="146" ht="15.75" customHeight="1">
      <c r="A146" s="1" t="s">
        <v>266</v>
      </c>
      <c r="B146" s="2" t="s">
        <v>267</v>
      </c>
      <c r="C146" s="3"/>
      <c r="G146" s="3" t="str">
        <f>IFERROR(VLOOKUP(B146,data!$A:$J,10,FALSE()),"")</f>
        <v>E53_G208</v>
      </c>
      <c r="H146" s="3" t="str">
        <f>IFERROR(VLOOKUP(C146,data!$A:$J,10,FALSE()),"")</f>
        <v/>
      </c>
      <c r="I146" s="3" t="str">
        <f>IFERROR(VLOOKUP(D146,data!$A:$J,10,FALSE()),"")</f>
        <v/>
      </c>
      <c r="J146" s="3" t="str">
        <f>IFERROR(VLOOKUP(E146,data!$A:$J,10,FALSE()),"")</f>
        <v/>
      </c>
      <c r="K146" s="3" t="str">
        <f>IFERROR(VLOOKUP(F146,data!$A:$J,10,FALSE()),"")</f>
        <v/>
      </c>
      <c r="L146" s="3" t="str">
        <f t="shared" si="3"/>
        <v>E53_G208</v>
      </c>
    </row>
    <row r="147" ht="15.75" customHeight="1">
      <c r="A147" s="1" t="s">
        <v>268</v>
      </c>
      <c r="B147" s="2" t="s">
        <v>269</v>
      </c>
      <c r="C147" s="3"/>
      <c r="G147" s="3" t="str">
        <f>IFERROR(VLOOKUP(B147,data!$A:$J,10,FALSE()),"")</f>
        <v>E53_G211</v>
      </c>
      <c r="H147" s="3" t="str">
        <f>IFERROR(VLOOKUP(C147,data!$A:$J,10,FALSE()),"")</f>
        <v/>
      </c>
      <c r="I147" s="3" t="str">
        <f>IFERROR(VLOOKUP(D147,data!$A:$J,10,FALSE()),"")</f>
        <v/>
      </c>
      <c r="J147" s="3" t="str">
        <f>IFERROR(VLOOKUP(E147,data!$A:$J,10,FALSE()),"")</f>
        <v/>
      </c>
      <c r="K147" s="3" t="str">
        <f>IFERROR(VLOOKUP(F147,data!$A:$J,10,FALSE()),"")</f>
        <v/>
      </c>
      <c r="L147" s="3" t="str">
        <f t="shared" si="3"/>
        <v>E53_G211</v>
      </c>
    </row>
    <row r="148" ht="15.75" customHeight="1">
      <c r="A148" s="1" t="s">
        <v>270</v>
      </c>
      <c r="B148" s="2" t="s">
        <v>271</v>
      </c>
      <c r="C148" s="3"/>
      <c r="G148" s="3" t="str">
        <f>IFERROR(VLOOKUP(B148,data!$A:$J,10,FALSE()),"")</f>
        <v>E53_G215</v>
      </c>
      <c r="H148" s="3" t="str">
        <f>IFERROR(VLOOKUP(C148,data!$A:$J,10,FALSE()),"")</f>
        <v/>
      </c>
      <c r="I148" s="3" t="str">
        <f>IFERROR(VLOOKUP(D148,data!$A:$J,10,FALSE()),"")</f>
        <v/>
      </c>
      <c r="J148" s="3" t="str">
        <f>IFERROR(VLOOKUP(E148,data!$A:$J,10,FALSE()),"")</f>
        <v/>
      </c>
      <c r="K148" s="3" t="str">
        <f>IFERROR(VLOOKUP(F148,data!$A:$J,10,FALSE()),"")</f>
        <v/>
      </c>
      <c r="L148" s="3" t="str">
        <f t="shared" si="3"/>
        <v>E53_G215</v>
      </c>
    </row>
    <row r="149" ht="15.75" customHeight="1">
      <c r="A149" s="1" t="s">
        <v>272</v>
      </c>
      <c r="B149" s="2" t="s">
        <v>11</v>
      </c>
      <c r="C149" s="3"/>
      <c r="G149" s="3" t="str">
        <f>IFERROR(VLOOKUP(B149,data!$A:$J,10,FALSE()),"")</f>
        <v>E53_G218</v>
      </c>
      <c r="H149" s="3" t="str">
        <f>IFERROR(VLOOKUP(C149,data!$A:$J,10,FALSE()),"")</f>
        <v/>
      </c>
      <c r="I149" s="3" t="str">
        <f>IFERROR(VLOOKUP(D149,data!$A:$J,10,FALSE()),"")</f>
        <v/>
      </c>
      <c r="J149" s="3" t="str">
        <f>IFERROR(VLOOKUP(E149,data!$A:$J,10,FALSE()),"")</f>
        <v/>
      </c>
      <c r="K149" s="3" t="str">
        <f>IFERROR(VLOOKUP(F149,data!$A:$J,10,FALSE()),"")</f>
        <v/>
      </c>
      <c r="L149" s="3" t="str">
        <f t="shared" si="3"/>
        <v>E53_G218</v>
      </c>
    </row>
    <row r="150" ht="15.75" customHeight="1">
      <c r="A150" s="1" t="s">
        <v>273</v>
      </c>
      <c r="B150" s="2" t="s">
        <v>274</v>
      </c>
      <c r="C150" s="3"/>
      <c r="G150" s="3" t="str">
        <f>IFERROR(VLOOKUP(B150,data!$A:$J,10,FALSE()),"")</f>
        <v>E53_G219</v>
      </c>
      <c r="H150" s="3" t="str">
        <f>IFERROR(VLOOKUP(C150,data!$A:$J,10,FALSE()),"")</f>
        <v/>
      </c>
      <c r="I150" s="3" t="str">
        <f>IFERROR(VLOOKUP(D150,data!$A:$J,10,FALSE()),"")</f>
        <v/>
      </c>
      <c r="J150" s="3" t="str">
        <f>IFERROR(VLOOKUP(E150,data!$A:$J,10,FALSE()),"")</f>
        <v/>
      </c>
      <c r="K150" s="3" t="str">
        <f>IFERROR(VLOOKUP(F150,data!$A:$J,10,FALSE()),"")</f>
        <v/>
      </c>
      <c r="L150" s="3" t="str">
        <f t="shared" si="3"/>
        <v>E53_G219</v>
      </c>
    </row>
    <row r="151" ht="15.75" customHeight="1">
      <c r="A151" s="1" t="s">
        <v>275</v>
      </c>
      <c r="B151" s="2" t="s">
        <v>276</v>
      </c>
      <c r="C151" s="3"/>
      <c r="G151" s="3" t="str">
        <f>IFERROR(VLOOKUP(B151,data!$A:$J,10,FALSE()),"")</f>
        <v>E53_G221</v>
      </c>
      <c r="H151" s="3" t="str">
        <f>IFERROR(VLOOKUP(C151,data!$A:$J,10,FALSE()),"")</f>
        <v/>
      </c>
      <c r="I151" s="3" t="str">
        <f>IFERROR(VLOOKUP(D151,data!$A:$J,10,FALSE()),"")</f>
        <v/>
      </c>
      <c r="J151" s="3" t="str">
        <f>IFERROR(VLOOKUP(E151,data!$A:$J,10,FALSE()),"")</f>
        <v/>
      </c>
      <c r="K151" s="3" t="str">
        <f>IFERROR(VLOOKUP(F151,data!$A:$J,10,FALSE()),"")</f>
        <v/>
      </c>
      <c r="L151" s="3" t="str">
        <f t="shared" si="3"/>
        <v>E53_G221</v>
      </c>
    </row>
    <row r="152" ht="15.75" customHeight="1">
      <c r="A152" s="1" t="s">
        <v>277</v>
      </c>
      <c r="B152" s="2" t="s">
        <v>278</v>
      </c>
      <c r="C152" s="3"/>
      <c r="G152" s="3" t="str">
        <f>IFERROR(VLOOKUP(B152,data!$A:$J,10,FALSE()),"")</f>
        <v>E53_G213</v>
      </c>
      <c r="H152" s="3" t="str">
        <f>IFERROR(VLOOKUP(C152,data!$A:$J,10,FALSE()),"")</f>
        <v/>
      </c>
      <c r="I152" s="3" t="str">
        <f>IFERROR(VLOOKUP(D152,data!$A:$J,10,FALSE()),"")</f>
        <v/>
      </c>
      <c r="J152" s="3" t="str">
        <f>IFERROR(VLOOKUP(E152,data!$A:$J,10,FALSE()),"")</f>
        <v/>
      </c>
      <c r="K152" s="3" t="str">
        <f>IFERROR(VLOOKUP(F152,data!$A:$J,10,FALSE()),"")</f>
        <v/>
      </c>
      <c r="L152" s="3" t="str">
        <f t="shared" si="3"/>
        <v>E53_G213</v>
      </c>
    </row>
    <row r="153" ht="15.75" customHeight="1">
      <c r="A153" s="1" t="s">
        <v>279</v>
      </c>
      <c r="B153" s="2" t="s">
        <v>280</v>
      </c>
      <c r="C153" s="3"/>
      <c r="G153" s="3" t="str">
        <f>IFERROR(VLOOKUP(B153,data!$A:$J,10,FALSE()),"")</f>
        <v>E53_G222</v>
      </c>
      <c r="H153" s="3" t="str">
        <f>IFERROR(VLOOKUP(C153,data!$A:$J,10,FALSE()),"")</f>
        <v/>
      </c>
      <c r="I153" s="3" t="str">
        <f>IFERROR(VLOOKUP(D153,data!$A:$J,10,FALSE()),"")</f>
        <v/>
      </c>
      <c r="J153" s="3" t="str">
        <f>IFERROR(VLOOKUP(E153,data!$A:$J,10,FALSE()),"")</f>
        <v/>
      </c>
      <c r="K153" s="3" t="str">
        <f>IFERROR(VLOOKUP(F153,data!$A:$J,10,FALSE()),"")</f>
        <v/>
      </c>
      <c r="L153" s="3" t="str">
        <f t="shared" si="3"/>
        <v>E53_G222</v>
      </c>
    </row>
    <row r="154" ht="15.75" customHeight="1">
      <c r="A154" s="1" t="s">
        <v>281</v>
      </c>
      <c r="B154" s="2" t="s">
        <v>282</v>
      </c>
      <c r="C154" s="3"/>
      <c r="G154" s="3" t="str">
        <f>IFERROR(VLOOKUP(B154,data!$A:$J,10,FALSE()),"")</f>
        <v>E53_G223</v>
      </c>
      <c r="H154" s="3" t="str">
        <f>IFERROR(VLOOKUP(C154,data!$A:$J,10,FALSE()),"")</f>
        <v/>
      </c>
      <c r="I154" s="3" t="str">
        <f>IFERROR(VLOOKUP(D154,data!$A:$J,10,FALSE()),"")</f>
        <v/>
      </c>
      <c r="J154" s="3" t="str">
        <f>IFERROR(VLOOKUP(E154,data!$A:$J,10,FALSE()),"")</f>
        <v/>
      </c>
      <c r="K154" s="3" t="str">
        <f>IFERROR(VLOOKUP(F154,data!$A:$J,10,FALSE()),"")</f>
        <v/>
      </c>
      <c r="L154" s="3" t="str">
        <f t="shared" si="3"/>
        <v>E53_G223</v>
      </c>
    </row>
    <row r="155" ht="15.75" customHeight="1">
      <c r="A155" s="1" t="s">
        <v>283</v>
      </c>
      <c r="B155" s="2" t="s">
        <v>284</v>
      </c>
      <c r="C155" s="3"/>
      <c r="G155" s="3" t="str">
        <f>IFERROR(VLOOKUP(B155,data!$A:$J,10,FALSE()),"")</f>
        <v>E53_G224</v>
      </c>
      <c r="H155" s="3" t="str">
        <f>IFERROR(VLOOKUP(C155,data!$A:$J,10,FALSE()),"")</f>
        <v/>
      </c>
      <c r="I155" s="3" t="str">
        <f>IFERROR(VLOOKUP(D155,data!$A:$J,10,FALSE()),"")</f>
        <v/>
      </c>
      <c r="J155" s="3" t="str">
        <f>IFERROR(VLOOKUP(E155,data!$A:$J,10,FALSE()),"")</f>
        <v/>
      </c>
      <c r="K155" s="3" t="str">
        <f>IFERROR(VLOOKUP(F155,data!$A:$J,10,FALSE()),"")</f>
        <v/>
      </c>
      <c r="L155" s="3" t="str">
        <f t="shared" si="3"/>
        <v>E53_G224</v>
      </c>
    </row>
    <row r="156" ht="15.75" customHeight="1">
      <c r="A156" s="1" t="s">
        <v>285</v>
      </c>
      <c r="B156" s="2" t="s">
        <v>284</v>
      </c>
      <c r="C156" s="3"/>
      <c r="G156" s="3" t="str">
        <f>IFERROR(VLOOKUP(B156,data!$A:$J,10,FALSE()),"")</f>
        <v>E53_G224</v>
      </c>
      <c r="H156" s="3" t="str">
        <f>IFERROR(VLOOKUP(C156,data!$A:$J,10,FALSE()),"")</f>
        <v/>
      </c>
      <c r="I156" s="3" t="str">
        <f>IFERROR(VLOOKUP(D156,data!$A:$J,10,FALSE()),"")</f>
        <v/>
      </c>
      <c r="J156" s="3" t="str">
        <f>IFERROR(VLOOKUP(E156,data!$A:$J,10,FALSE()),"")</f>
        <v/>
      </c>
      <c r="K156" s="3" t="str">
        <f>IFERROR(VLOOKUP(F156,data!$A:$J,10,FALSE()),"")</f>
        <v/>
      </c>
      <c r="L156" s="3" t="str">
        <f t="shared" si="3"/>
        <v>E53_G224</v>
      </c>
    </row>
    <row r="157" ht="15.75" customHeight="1">
      <c r="A157" s="1" t="s">
        <v>286</v>
      </c>
      <c r="B157" s="2" t="s">
        <v>284</v>
      </c>
      <c r="C157" s="3">
        <v>2935022</v>
      </c>
      <c r="G157" s="3" t="str">
        <f>IFERROR(VLOOKUP(B157,data!$A:$J,10,FALSE()),"")</f>
        <v>E53_G224</v>
      </c>
      <c r="H157" s="3" t="str">
        <f>IFERROR(VLOOKUP(C157,data!$A:$J,10,FALSE()),"")</f>
        <v>E53_G53</v>
      </c>
      <c r="I157" s="3" t="str">
        <f>IFERROR(VLOOKUP(D157,data!$A:$J,10,FALSE()),"")</f>
        <v/>
      </c>
      <c r="J157" s="3" t="str">
        <f>IFERROR(VLOOKUP(E157,data!$A:$J,10,FALSE()),"")</f>
        <v/>
      </c>
      <c r="K157" s="3" t="str">
        <f>IFERROR(VLOOKUP(F157,data!$A:$J,10,FALSE()),"")</f>
        <v/>
      </c>
      <c r="L157" s="3" t="str">
        <f t="shared" si="3"/>
        <v xml:space="preserve">E53_G224 E53_G53</v>
      </c>
    </row>
    <row r="158" ht="15.75" customHeight="1">
      <c r="A158" s="1" t="s">
        <v>287</v>
      </c>
      <c r="B158" s="2" t="s">
        <v>288</v>
      </c>
      <c r="C158" s="3"/>
      <c r="G158" s="3" t="str">
        <f>IFERROR(VLOOKUP(B158,data!$A:$J,10,FALSE()),"")</f>
        <v>E53_G225</v>
      </c>
      <c r="H158" s="3" t="str">
        <f>IFERROR(VLOOKUP(C158,data!$A:$J,10,FALSE()),"")</f>
        <v/>
      </c>
      <c r="I158" s="3" t="str">
        <f>IFERROR(VLOOKUP(D158,data!$A:$J,10,FALSE()),"")</f>
        <v/>
      </c>
      <c r="J158" s="3" t="str">
        <f>IFERROR(VLOOKUP(E158,data!$A:$J,10,FALSE()),"")</f>
        <v/>
      </c>
      <c r="K158" s="3" t="str">
        <f>IFERROR(VLOOKUP(F158,data!$A:$J,10,FALSE()),"")</f>
        <v/>
      </c>
      <c r="L158" s="3" t="str">
        <f t="shared" si="3"/>
        <v>E53_G225</v>
      </c>
    </row>
    <row r="159" ht="15.75" customHeight="1">
      <c r="A159" s="1" t="s">
        <v>289</v>
      </c>
      <c r="B159" s="2" t="s">
        <v>290</v>
      </c>
      <c r="C159" s="3"/>
      <c r="G159" s="3" t="str">
        <f>IFERROR(VLOOKUP(B159,data!$A:$J,10,FALSE()),"")</f>
        <v>E53_G228</v>
      </c>
      <c r="H159" s="3" t="str">
        <f>IFERROR(VLOOKUP(C159,data!$A:$J,10,FALSE()),"")</f>
        <v/>
      </c>
      <c r="I159" s="3" t="str">
        <f>IFERROR(VLOOKUP(D159,data!$A:$J,10,FALSE()),"")</f>
        <v/>
      </c>
      <c r="J159" s="3" t="str">
        <f>IFERROR(VLOOKUP(E159,data!$A:$J,10,FALSE()),"")</f>
        <v/>
      </c>
      <c r="K159" s="3" t="str">
        <f>IFERROR(VLOOKUP(F159,data!$A:$J,10,FALSE()),"")</f>
        <v/>
      </c>
      <c r="L159" s="3" t="str">
        <f t="shared" si="3"/>
        <v>E53_G228</v>
      </c>
    </row>
    <row r="160" ht="15.75" customHeight="1">
      <c r="A160" s="1" t="s">
        <v>291</v>
      </c>
      <c r="B160" s="2" t="s">
        <v>292</v>
      </c>
      <c r="C160" s="3"/>
      <c r="G160" s="3" t="str">
        <f>IFERROR(VLOOKUP(B160,data!$A:$J,10,FALSE()),"")</f>
        <v>E53_G229</v>
      </c>
      <c r="H160" s="3" t="str">
        <f>IFERROR(VLOOKUP(C160,data!$A:$J,10,FALSE()),"")</f>
        <v/>
      </c>
      <c r="I160" s="3" t="str">
        <f>IFERROR(VLOOKUP(D160,data!$A:$J,10,FALSE()),"")</f>
        <v/>
      </c>
      <c r="J160" s="3" t="str">
        <f>IFERROR(VLOOKUP(E160,data!$A:$J,10,FALSE()),"")</f>
        <v/>
      </c>
      <c r="K160" s="3" t="str">
        <f>IFERROR(VLOOKUP(F160,data!$A:$J,10,FALSE()),"")</f>
        <v/>
      </c>
      <c r="L160" s="3" t="str">
        <f t="shared" si="3"/>
        <v>E53_G229</v>
      </c>
    </row>
    <row r="161" ht="15.75" customHeight="1">
      <c r="A161" s="1" t="s">
        <v>293</v>
      </c>
      <c r="B161" s="2" t="s">
        <v>294</v>
      </c>
      <c r="C161" s="3"/>
      <c r="G161" s="3" t="str">
        <f>IFERROR(VLOOKUP(B161,data!$A:$J,10,FALSE()),"")</f>
        <v>E53_G230</v>
      </c>
      <c r="H161" s="3" t="str">
        <f>IFERROR(VLOOKUP(C161,data!$A:$J,10,FALSE()),"")</f>
        <v/>
      </c>
      <c r="I161" s="3" t="str">
        <f>IFERROR(VLOOKUP(D161,data!$A:$J,10,FALSE()),"")</f>
        <v/>
      </c>
      <c r="J161" s="3" t="str">
        <f>IFERROR(VLOOKUP(E161,data!$A:$J,10,FALSE()),"")</f>
        <v/>
      </c>
      <c r="K161" s="3" t="str">
        <f>IFERROR(VLOOKUP(F161,data!$A:$J,10,FALSE()),"")</f>
        <v/>
      </c>
      <c r="L161" s="3" t="str">
        <f t="shared" si="3"/>
        <v>E53_G230</v>
      </c>
    </row>
    <row r="162" ht="15.75" customHeight="1">
      <c r="A162" s="1" t="s">
        <v>295</v>
      </c>
      <c r="B162" s="2" t="s">
        <v>296</v>
      </c>
      <c r="C162" s="3"/>
      <c r="G162" s="3" t="str">
        <f>IFERROR(VLOOKUP(B162,data!$A:$J,10,FALSE()),"")</f>
        <v>E53_G233</v>
      </c>
      <c r="H162" s="3" t="str">
        <f>IFERROR(VLOOKUP(C162,data!$A:$J,10,FALSE()),"")</f>
        <v/>
      </c>
      <c r="I162" s="3" t="str">
        <f>IFERROR(VLOOKUP(D162,data!$A:$J,10,FALSE()),"")</f>
        <v/>
      </c>
      <c r="J162" s="3" t="str">
        <f>IFERROR(VLOOKUP(E162,data!$A:$J,10,FALSE()),"")</f>
        <v/>
      </c>
      <c r="K162" s="3" t="str">
        <f>IFERROR(VLOOKUP(F162,data!$A:$J,10,FALSE()),"")</f>
        <v/>
      </c>
      <c r="L162" s="3" t="str">
        <f t="shared" si="3"/>
        <v>E53_G233</v>
      </c>
    </row>
    <row r="163" ht="15.75" customHeight="1">
      <c r="A163" s="1" t="s">
        <v>297</v>
      </c>
      <c r="B163" s="2" t="s">
        <v>298</v>
      </c>
      <c r="C163" s="3"/>
      <c r="G163" s="3" t="str">
        <f>IFERROR(VLOOKUP(B163,data!$A:$J,10,FALSE()),"")</f>
        <v>E53_G226</v>
      </c>
      <c r="H163" s="3" t="str">
        <f>IFERROR(VLOOKUP(C163,data!$A:$J,10,FALSE()),"")</f>
        <v/>
      </c>
      <c r="I163" s="3" t="str">
        <f>IFERROR(VLOOKUP(D163,data!$A:$J,10,FALSE()),"")</f>
        <v/>
      </c>
      <c r="J163" s="3" t="str">
        <f>IFERROR(VLOOKUP(E163,data!$A:$J,10,FALSE()),"")</f>
        <v/>
      </c>
      <c r="K163" s="3" t="str">
        <f>IFERROR(VLOOKUP(F163,data!$A:$J,10,FALSE()),"")</f>
        <v/>
      </c>
      <c r="L163" s="3" t="str">
        <f t="shared" si="3"/>
        <v>E53_G226</v>
      </c>
    </row>
    <row r="164" ht="15.75" customHeight="1">
      <c r="A164" s="1" t="s">
        <v>299</v>
      </c>
      <c r="B164" s="2" t="s">
        <v>300</v>
      </c>
      <c r="C164" s="3"/>
      <c r="G164" s="3" t="str">
        <f>IFERROR(VLOOKUP(B164,data!$A:$J,10,FALSE()),"")</f>
        <v>E53_G37</v>
      </c>
      <c r="H164" s="3" t="str">
        <f>IFERROR(VLOOKUP(C164,data!$A:$J,10,FALSE()),"")</f>
        <v/>
      </c>
      <c r="I164" s="3" t="str">
        <f>IFERROR(VLOOKUP(D164,data!$A:$J,10,FALSE()),"")</f>
        <v/>
      </c>
      <c r="J164" s="3" t="str">
        <f>IFERROR(VLOOKUP(E164,data!$A:$J,10,FALSE()),"")</f>
        <v/>
      </c>
      <c r="K164" s="3" t="str">
        <f>IFERROR(VLOOKUP(F164,data!$A:$J,10,FALSE()),"")</f>
        <v/>
      </c>
      <c r="L164" s="3" t="str">
        <f t="shared" ref="L164:L227" si="4">_xlfn.TEXTJOIN(" ",TRUE(),G164:K164)</f>
        <v>E53_G37</v>
      </c>
    </row>
    <row r="165" ht="15.75" customHeight="1">
      <c r="A165" s="1" t="s">
        <v>301</v>
      </c>
      <c r="B165" s="2" t="s">
        <v>188</v>
      </c>
      <c r="C165" s="3"/>
      <c r="G165" s="3" t="str">
        <f>IFERROR(VLOOKUP(B165,data!$A:$J,10,FALSE()),"")</f>
        <v>E53_G106</v>
      </c>
      <c r="H165" s="3" t="str">
        <f>IFERROR(VLOOKUP(C165,data!$A:$J,10,FALSE()),"")</f>
        <v/>
      </c>
      <c r="I165" s="3" t="str">
        <f>IFERROR(VLOOKUP(D165,data!$A:$J,10,FALSE()),"")</f>
        <v/>
      </c>
      <c r="J165" s="3" t="str">
        <f>IFERROR(VLOOKUP(E165,data!$A:$J,10,FALSE()),"")</f>
        <v/>
      </c>
      <c r="K165" s="3" t="str">
        <f>IFERROR(VLOOKUP(F165,data!$A:$J,10,FALSE()),"")</f>
        <v/>
      </c>
      <c r="L165" s="3" t="str">
        <f t="shared" si="4"/>
        <v>E53_G106</v>
      </c>
    </row>
    <row r="166" ht="15.75" customHeight="1">
      <c r="A166" s="1" t="s">
        <v>302</v>
      </c>
      <c r="B166" s="2" t="s">
        <v>188</v>
      </c>
      <c r="C166" s="3"/>
      <c r="G166" s="3" t="str">
        <f>IFERROR(VLOOKUP(B166,data!$A:$J,10,FALSE()),"")</f>
        <v>E53_G106</v>
      </c>
      <c r="H166" s="3" t="str">
        <f>IFERROR(VLOOKUP(C166,data!$A:$J,10,FALSE()),"")</f>
        <v/>
      </c>
      <c r="I166" s="3" t="str">
        <f>IFERROR(VLOOKUP(D166,data!$A:$J,10,FALSE()),"")</f>
        <v/>
      </c>
      <c r="J166" s="3" t="str">
        <f>IFERROR(VLOOKUP(E166,data!$A:$J,10,FALSE()),"")</f>
        <v/>
      </c>
      <c r="K166" s="3" t="str">
        <f>IFERROR(VLOOKUP(F166,data!$A:$J,10,FALSE()),"")</f>
        <v/>
      </c>
      <c r="L166" s="3" t="str">
        <f t="shared" si="4"/>
        <v>E53_G106</v>
      </c>
    </row>
    <row r="167" ht="15.75" customHeight="1">
      <c r="A167" s="1" t="s">
        <v>303</v>
      </c>
      <c r="B167" s="2" t="s">
        <v>304</v>
      </c>
      <c r="C167" s="3"/>
      <c r="G167" s="3" t="str">
        <f>IFERROR(VLOOKUP(B167,data!$A:$J,10,FALSE()),"")</f>
        <v>E53_G3</v>
      </c>
      <c r="H167" s="3" t="str">
        <f>IFERROR(VLOOKUP(C167,data!$A:$J,10,FALSE()),"")</f>
        <v/>
      </c>
      <c r="I167" s="3" t="str">
        <f>IFERROR(VLOOKUP(D167,data!$A:$J,10,FALSE()),"")</f>
        <v/>
      </c>
      <c r="J167" s="3" t="str">
        <f>IFERROR(VLOOKUP(E167,data!$A:$J,10,FALSE()),"")</f>
        <v/>
      </c>
      <c r="K167" s="3" t="str">
        <f>IFERROR(VLOOKUP(F167,data!$A:$J,10,FALSE()),"")</f>
        <v/>
      </c>
      <c r="L167" s="3" t="str">
        <f t="shared" si="4"/>
        <v>E53_G3</v>
      </c>
    </row>
    <row r="168" ht="15.75" customHeight="1">
      <c r="A168" s="1" t="s">
        <v>305</v>
      </c>
      <c r="B168" s="2" t="s">
        <v>118</v>
      </c>
      <c r="C168" s="3"/>
      <c r="G168" s="3" t="str">
        <f>IFERROR(VLOOKUP(B168,data!$A:$J,10,FALSE()),"")</f>
        <v>E53_G13</v>
      </c>
      <c r="H168" s="3" t="str">
        <f>IFERROR(VLOOKUP(C168,data!$A:$J,10,FALSE()),"")</f>
        <v/>
      </c>
      <c r="I168" s="3" t="str">
        <f>IFERROR(VLOOKUP(D168,data!$A:$J,10,FALSE()),"")</f>
        <v/>
      </c>
      <c r="J168" s="3" t="str">
        <f>IFERROR(VLOOKUP(E168,data!$A:$J,10,FALSE()),"")</f>
        <v/>
      </c>
      <c r="K168" s="3" t="str">
        <f>IFERROR(VLOOKUP(F168,data!$A:$J,10,FALSE()),"")</f>
        <v/>
      </c>
      <c r="L168" s="3" t="str">
        <f t="shared" si="4"/>
        <v>E53_G13</v>
      </c>
    </row>
    <row r="169" ht="15.75" customHeight="1">
      <c r="A169" s="1" t="s">
        <v>306</v>
      </c>
      <c r="B169" s="2" t="s">
        <v>307</v>
      </c>
      <c r="C169" s="3"/>
      <c r="G169" s="3" t="str">
        <f>IFERROR(VLOOKUP(B169,data!$A:$J,10,FALSE()),"")</f>
        <v>E53_G216</v>
      </c>
      <c r="H169" s="3" t="str">
        <f>IFERROR(VLOOKUP(C169,data!$A:$J,10,FALSE()),"")</f>
        <v/>
      </c>
      <c r="I169" s="3" t="str">
        <f>IFERROR(VLOOKUP(D169,data!$A:$J,10,FALSE()),"")</f>
        <v/>
      </c>
      <c r="J169" s="3" t="str">
        <f>IFERROR(VLOOKUP(E169,data!$A:$J,10,FALSE()),"")</f>
        <v/>
      </c>
      <c r="K169" s="3" t="str">
        <f>IFERROR(VLOOKUP(F169,data!$A:$J,10,FALSE()),"")</f>
        <v/>
      </c>
      <c r="L169" s="3" t="str">
        <f t="shared" si="4"/>
        <v>E53_G216</v>
      </c>
    </row>
    <row r="170" ht="15.75" customHeight="1">
      <c r="A170" s="1" t="s">
        <v>308</v>
      </c>
      <c r="B170" s="2" t="s">
        <v>309</v>
      </c>
      <c r="C170" s="3"/>
      <c r="G170" s="3" t="str">
        <f>IFERROR(VLOOKUP(B170,data!$A:$J,10,FALSE()),"")</f>
        <v>E53_G50</v>
      </c>
      <c r="H170" s="3" t="str">
        <f>IFERROR(VLOOKUP(C170,data!$A:$J,10,FALSE()),"")</f>
        <v/>
      </c>
      <c r="I170" s="3" t="str">
        <f>IFERROR(VLOOKUP(D170,data!$A:$J,10,FALSE()),"")</f>
        <v/>
      </c>
      <c r="J170" s="3" t="str">
        <f>IFERROR(VLOOKUP(E170,data!$A:$J,10,FALSE()),"")</f>
        <v/>
      </c>
      <c r="K170" s="3" t="str">
        <f>IFERROR(VLOOKUP(F170,data!$A:$J,10,FALSE()),"")</f>
        <v/>
      </c>
      <c r="L170" s="3" t="str">
        <f t="shared" si="4"/>
        <v>E53_G50</v>
      </c>
    </row>
    <row r="171" ht="15.75" customHeight="1">
      <c r="A171" s="1" t="s">
        <v>310</v>
      </c>
      <c r="B171" s="2" t="s">
        <v>309</v>
      </c>
      <c r="C171" s="3">
        <v>703448</v>
      </c>
      <c r="G171" s="3" t="str">
        <f>IFERROR(VLOOKUP(B171,data!$A:$J,10,FALSE()),"")</f>
        <v>E53_G50</v>
      </c>
      <c r="H171" s="3" t="str">
        <f>IFERROR(VLOOKUP(C171,data!$A:$J,10,FALSE()),"")</f>
        <v>E53_G100</v>
      </c>
      <c r="I171" s="3" t="str">
        <f>IFERROR(VLOOKUP(D171,data!$A:$J,10,FALSE()),"")</f>
        <v/>
      </c>
      <c r="J171" s="3" t="str">
        <f>IFERROR(VLOOKUP(E171,data!$A:$J,10,FALSE()),"")</f>
        <v/>
      </c>
      <c r="K171" s="3" t="str">
        <f>IFERROR(VLOOKUP(F171,data!$A:$J,10,FALSE()),"")</f>
        <v/>
      </c>
      <c r="L171" s="3" t="str">
        <f t="shared" si="4"/>
        <v xml:space="preserve">E53_G50 E53_G100</v>
      </c>
    </row>
    <row r="172" ht="15.75" customHeight="1">
      <c r="A172" s="1" t="s">
        <v>311</v>
      </c>
      <c r="B172" s="2" t="s">
        <v>298</v>
      </c>
      <c r="C172" s="3"/>
      <c r="G172" s="3" t="str">
        <f>IFERROR(VLOOKUP(B172,data!$A:$J,10,FALSE()),"")</f>
        <v>E53_G226</v>
      </c>
      <c r="H172" s="3" t="str">
        <f>IFERROR(VLOOKUP(C172,data!$A:$J,10,FALSE()),"")</f>
        <v/>
      </c>
      <c r="I172" s="3" t="str">
        <f>IFERROR(VLOOKUP(D172,data!$A:$J,10,FALSE()),"")</f>
        <v/>
      </c>
      <c r="J172" s="3" t="str">
        <f>IFERROR(VLOOKUP(E172,data!$A:$J,10,FALSE()),"")</f>
        <v/>
      </c>
      <c r="K172" s="3" t="str">
        <f>IFERROR(VLOOKUP(F172,data!$A:$J,10,FALSE()),"")</f>
        <v/>
      </c>
      <c r="L172" s="3" t="str">
        <f t="shared" si="4"/>
        <v>E53_G226</v>
      </c>
    </row>
    <row r="173" ht="15.75" customHeight="1">
      <c r="A173" s="1" t="s">
        <v>312</v>
      </c>
      <c r="B173" s="2" t="s">
        <v>298</v>
      </c>
      <c r="C173" s="3"/>
      <c r="G173" s="3" t="str">
        <f>IFERROR(VLOOKUP(B173,data!$A:$J,10,FALSE()),"")</f>
        <v>E53_G226</v>
      </c>
      <c r="H173" s="3" t="str">
        <f>IFERROR(VLOOKUP(C173,data!$A:$J,10,FALSE()),"")</f>
        <v/>
      </c>
      <c r="I173" s="3" t="str">
        <f>IFERROR(VLOOKUP(D173,data!$A:$J,10,FALSE()),"")</f>
        <v/>
      </c>
      <c r="J173" s="3" t="str">
        <f>IFERROR(VLOOKUP(E173,data!$A:$J,10,FALSE()),"")</f>
        <v/>
      </c>
      <c r="K173" s="3" t="str">
        <f>IFERROR(VLOOKUP(F173,data!$A:$J,10,FALSE()),"")</f>
        <v/>
      </c>
      <c r="L173" s="3" t="str">
        <f t="shared" si="4"/>
        <v>E53_G226</v>
      </c>
    </row>
    <row r="174" ht="15.75" customHeight="1">
      <c r="A174" s="1" t="s">
        <v>313</v>
      </c>
      <c r="B174" s="2" t="s">
        <v>314</v>
      </c>
      <c r="C174" s="3"/>
      <c r="G174" s="3" t="str">
        <f>IFERROR(VLOOKUP(B174,data!$A:$J,10,FALSE()),"")</f>
        <v>E53_G227</v>
      </c>
      <c r="H174" s="3" t="str">
        <f>IFERROR(VLOOKUP(C174,data!$A:$J,10,FALSE()),"")</f>
        <v/>
      </c>
      <c r="I174" s="3" t="str">
        <f>IFERROR(VLOOKUP(D174,data!$A:$J,10,FALSE()),"")</f>
        <v/>
      </c>
      <c r="J174" s="3" t="str">
        <f>IFERROR(VLOOKUP(E174,data!$A:$J,10,FALSE()),"")</f>
        <v/>
      </c>
      <c r="K174" s="3" t="str">
        <f>IFERROR(VLOOKUP(F174,data!$A:$J,10,FALSE()),"")</f>
        <v/>
      </c>
      <c r="L174" s="3" t="str">
        <f t="shared" si="4"/>
        <v>E53_G227</v>
      </c>
    </row>
    <row r="175" ht="15.75" customHeight="1">
      <c r="A175" s="1" t="s">
        <v>315</v>
      </c>
      <c r="B175" s="2" t="s">
        <v>166</v>
      </c>
      <c r="C175" s="3"/>
      <c r="G175" s="3" t="str">
        <f>IFERROR(VLOOKUP(B175,data!$A:$J,10,FALSE()),"")</f>
        <v>E53_G85</v>
      </c>
      <c r="H175" s="3" t="str">
        <f>IFERROR(VLOOKUP(C175,data!$A:$J,10,FALSE()),"")</f>
        <v/>
      </c>
      <c r="I175" s="3" t="str">
        <f>IFERROR(VLOOKUP(D175,data!$A:$J,10,FALSE()),"")</f>
        <v/>
      </c>
      <c r="J175" s="3" t="str">
        <f>IFERROR(VLOOKUP(E175,data!$A:$J,10,FALSE()),"")</f>
        <v/>
      </c>
      <c r="K175" s="3" t="str">
        <f>IFERROR(VLOOKUP(F175,data!$A:$J,10,FALSE()),"")</f>
        <v/>
      </c>
      <c r="L175" s="3" t="str">
        <f t="shared" si="4"/>
        <v>E53_G85</v>
      </c>
    </row>
    <row r="176" ht="15.75" customHeight="1">
      <c r="A176" s="1" t="s">
        <v>316</v>
      </c>
      <c r="B176" s="2" t="s">
        <v>105</v>
      </c>
      <c r="C176" s="3"/>
      <c r="G176" s="3" t="str">
        <f>IFERROR(VLOOKUP(B176,data!$A:$J,10,FALSE()),"")</f>
        <v>E53_G100</v>
      </c>
      <c r="H176" s="3" t="str">
        <f>IFERROR(VLOOKUP(C176,data!$A:$J,10,FALSE()),"")</f>
        <v/>
      </c>
      <c r="I176" s="3" t="str">
        <f>IFERROR(VLOOKUP(D176,data!$A:$J,10,FALSE()),"")</f>
        <v/>
      </c>
      <c r="J176" s="3" t="str">
        <f>IFERROR(VLOOKUP(E176,data!$A:$J,10,FALSE()),"")</f>
        <v/>
      </c>
      <c r="K176" s="3" t="str">
        <f>IFERROR(VLOOKUP(F176,data!$A:$J,10,FALSE()),"")</f>
        <v/>
      </c>
      <c r="L176" s="3" t="str">
        <f t="shared" si="4"/>
        <v>E53_G100</v>
      </c>
    </row>
    <row r="177" ht="15.75" customHeight="1">
      <c r="A177" s="1" t="s">
        <v>317</v>
      </c>
      <c r="B177" s="2" t="s">
        <v>318</v>
      </c>
      <c r="C177" s="3"/>
      <c r="G177" s="3" t="str">
        <f>IFERROR(VLOOKUP(B177,data!$A:$J,10,FALSE()),"")</f>
        <v>E53_G183</v>
      </c>
      <c r="H177" s="3" t="str">
        <f>IFERROR(VLOOKUP(C177,data!$A:$J,10,FALSE()),"")</f>
        <v/>
      </c>
      <c r="I177" s="3" t="str">
        <f>IFERROR(VLOOKUP(D177,data!$A:$J,10,FALSE()),"")</f>
        <v/>
      </c>
      <c r="J177" s="3" t="str">
        <f>IFERROR(VLOOKUP(E177,data!$A:$J,10,FALSE()),"")</f>
        <v/>
      </c>
      <c r="K177" s="3" t="str">
        <f>IFERROR(VLOOKUP(F177,data!$A:$J,10,FALSE()),"")</f>
        <v/>
      </c>
      <c r="L177" s="3" t="str">
        <f t="shared" si="4"/>
        <v>E53_G183</v>
      </c>
    </row>
    <row r="178" ht="15.75" customHeight="1">
      <c r="A178" s="1" t="s">
        <v>319</v>
      </c>
      <c r="B178" s="2" t="s">
        <v>320</v>
      </c>
      <c r="C178" s="3"/>
      <c r="G178" s="3" t="str">
        <f>IFERROR(VLOOKUP(B178,data!$A:$J,10,FALSE()),"")</f>
        <v>E53_G102</v>
      </c>
      <c r="H178" s="3" t="str">
        <f>IFERROR(VLOOKUP(C178,data!$A:$J,10,FALSE()),"")</f>
        <v/>
      </c>
      <c r="I178" s="3" t="str">
        <f>IFERROR(VLOOKUP(D178,data!$A:$J,10,FALSE()),"")</f>
        <v/>
      </c>
      <c r="J178" s="3" t="str">
        <f>IFERROR(VLOOKUP(E178,data!$A:$J,10,FALSE()),"")</f>
        <v/>
      </c>
      <c r="K178" s="3" t="str">
        <f>IFERROR(VLOOKUP(F178,data!$A:$J,10,FALSE()),"")</f>
        <v/>
      </c>
      <c r="L178" s="3" t="str">
        <f t="shared" si="4"/>
        <v>E53_G102</v>
      </c>
    </row>
    <row r="179" ht="15.75" customHeight="1">
      <c r="A179" s="1" t="s">
        <v>321</v>
      </c>
      <c r="B179" s="2" t="s">
        <v>103</v>
      </c>
      <c r="C179" s="3"/>
      <c r="G179" s="3" t="str">
        <f>IFERROR(VLOOKUP(B179,data!$A:$J,10,FALSE()),"")</f>
        <v>E53_G110</v>
      </c>
      <c r="H179" s="3" t="str">
        <f>IFERROR(VLOOKUP(C179,data!$A:$J,10,FALSE()),"")</f>
        <v/>
      </c>
      <c r="I179" s="3" t="str">
        <f>IFERROR(VLOOKUP(D179,data!$A:$J,10,FALSE()),"")</f>
        <v/>
      </c>
      <c r="J179" s="3" t="str">
        <f>IFERROR(VLOOKUP(E179,data!$A:$J,10,FALSE()),"")</f>
        <v/>
      </c>
      <c r="K179" s="3" t="str">
        <f>IFERROR(VLOOKUP(F179,data!$A:$J,10,FALSE()),"")</f>
        <v/>
      </c>
      <c r="L179" s="3" t="str">
        <f t="shared" si="4"/>
        <v>E53_G110</v>
      </c>
    </row>
    <row r="180" ht="15.75" customHeight="1">
      <c r="A180" s="1" t="s">
        <v>322</v>
      </c>
      <c r="B180" s="2" t="s">
        <v>55</v>
      </c>
      <c r="C180" s="3">
        <v>498817</v>
      </c>
      <c r="G180" s="3" t="str">
        <f>IFERROR(VLOOKUP(B180,data!$A:$J,10,FALSE()),"")</f>
        <v>E53_G126</v>
      </c>
      <c r="H180" s="3" t="str">
        <f>IFERROR(VLOOKUP(C180,data!$A:$J,10,FALSE()),"")</f>
        <v>E53_G183</v>
      </c>
      <c r="I180" s="3" t="str">
        <f>IFERROR(VLOOKUP(D180,data!$A:$J,10,FALSE()),"")</f>
        <v/>
      </c>
      <c r="J180" s="3" t="str">
        <f>IFERROR(VLOOKUP(E180,data!$A:$J,10,FALSE()),"")</f>
        <v/>
      </c>
      <c r="K180" s="3" t="str">
        <f>IFERROR(VLOOKUP(F180,data!$A:$J,10,FALSE()),"")</f>
        <v/>
      </c>
      <c r="L180" s="3" t="str">
        <f t="shared" si="4"/>
        <v xml:space="preserve">E53_G126 E53_G183</v>
      </c>
    </row>
    <row r="181" ht="15.75" customHeight="1">
      <c r="A181" s="1" t="s">
        <v>323</v>
      </c>
      <c r="B181" s="2" t="s">
        <v>55</v>
      </c>
      <c r="C181" s="3"/>
      <c r="G181" s="3" t="str">
        <f>IFERROR(VLOOKUP(B181,data!$A:$J,10,FALSE()),"")</f>
        <v>E53_G126</v>
      </c>
      <c r="H181" s="3" t="str">
        <f>IFERROR(VLOOKUP(C181,data!$A:$J,10,FALSE()),"")</f>
        <v/>
      </c>
      <c r="I181" s="3" t="str">
        <f>IFERROR(VLOOKUP(D181,data!$A:$J,10,FALSE()),"")</f>
        <v/>
      </c>
      <c r="J181" s="3" t="str">
        <f>IFERROR(VLOOKUP(E181,data!$A:$J,10,FALSE()),"")</f>
        <v/>
      </c>
      <c r="K181" s="3" t="str">
        <f>IFERROR(VLOOKUP(F181,data!$A:$J,10,FALSE()),"")</f>
        <v/>
      </c>
      <c r="L181" s="3" t="str">
        <f t="shared" si="4"/>
        <v>E53_G126</v>
      </c>
    </row>
    <row r="182" ht="15.75" customHeight="1">
      <c r="A182" s="1" t="s">
        <v>324</v>
      </c>
      <c r="B182" s="2" t="s">
        <v>57</v>
      </c>
      <c r="C182" s="3"/>
      <c r="G182" s="3" t="str">
        <f>IFERROR(VLOOKUP(B182,data!$A:$J,10,FALSE()),"")</f>
        <v>E53_G123</v>
      </c>
      <c r="H182" s="3" t="str">
        <f>IFERROR(VLOOKUP(C182,data!$A:$J,10,FALSE()),"")</f>
        <v/>
      </c>
      <c r="I182" s="3" t="str">
        <f>IFERROR(VLOOKUP(D182,data!$A:$J,10,FALSE()),"")</f>
        <v/>
      </c>
      <c r="J182" s="3" t="str">
        <f>IFERROR(VLOOKUP(E182,data!$A:$J,10,FALSE()),"")</f>
        <v/>
      </c>
      <c r="K182" s="3" t="str">
        <f>IFERROR(VLOOKUP(F182,data!$A:$J,10,FALSE()),"")</f>
        <v/>
      </c>
      <c r="L182" s="3" t="str">
        <f t="shared" si="4"/>
        <v>E53_G123</v>
      </c>
    </row>
    <row r="183" ht="15.75" customHeight="1">
      <c r="A183" s="1" t="s">
        <v>325</v>
      </c>
      <c r="B183" s="2" t="s">
        <v>57</v>
      </c>
      <c r="C183" s="3"/>
      <c r="G183" s="3" t="str">
        <f>IFERROR(VLOOKUP(B183,data!$A:$J,10,FALSE()),"")</f>
        <v>E53_G123</v>
      </c>
      <c r="H183" s="3" t="str">
        <f>IFERROR(VLOOKUP(C183,data!$A:$J,10,FALSE()),"")</f>
        <v/>
      </c>
      <c r="I183" s="3" t="str">
        <f>IFERROR(VLOOKUP(D183,data!$A:$J,10,FALSE()),"")</f>
        <v/>
      </c>
      <c r="J183" s="3" t="str">
        <f>IFERROR(VLOOKUP(E183,data!$A:$J,10,FALSE()),"")</f>
        <v/>
      </c>
      <c r="K183" s="3" t="str">
        <f>IFERROR(VLOOKUP(F183,data!$A:$J,10,FALSE()),"")</f>
        <v/>
      </c>
      <c r="L183" s="3" t="str">
        <f t="shared" si="4"/>
        <v>E53_G123</v>
      </c>
    </row>
    <row r="184" ht="15.75" customHeight="1">
      <c r="A184" s="1" t="s">
        <v>326</v>
      </c>
      <c r="B184" s="2" t="s">
        <v>57</v>
      </c>
      <c r="C184" s="3"/>
      <c r="G184" s="3" t="str">
        <f>IFERROR(VLOOKUP(B184,data!$A:$J,10,FALSE()),"")</f>
        <v>E53_G123</v>
      </c>
      <c r="H184" s="3" t="str">
        <f>IFERROR(VLOOKUP(C184,data!$A:$J,10,FALSE()),"")</f>
        <v/>
      </c>
      <c r="I184" s="3" t="str">
        <f>IFERROR(VLOOKUP(D184,data!$A:$J,10,FALSE()),"")</f>
        <v/>
      </c>
      <c r="J184" s="3" t="str">
        <f>IFERROR(VLOOKUP(E184,data!$A:$J,10,FALSE()),"")</f>
        <v/>
      </c>
      <c r="K184" s="3" t="str">
        <f>IFERROR(VLOOKUP(F184,data!$A:$J,10,FALSE()),"")</f>
        <v/>
      </c>
      <c r="L184" s="3" t="str">
        <f t="shared" si="4"/>
        <v>E53_G123</v>
      </c>
    </row>
    <row r="185" ht="15.75" customHeight="1">
      <c r="A185" s="1" t="s">
        <v>327</v>
      </c>
      <c r="B185" s="2" t="s">
        <v>328</v>
      </c>
      <c r="C185" s="3"/>
      <c r="G185" s="3" t="str">
        <f>IFERROR(VLOOKUP(B185,data!$A:$J,10,FALSE()),"")</f>
        <v>E53_G136</v>
      </c>
      <c r="H185" s="3" t="str">
        <f>IFERROR(VLOOKUP(C185,data!$A:$J,10,FALSE()),"")</f>
        <v/>
      </c>
      <c r="I185" s="3" t="str">
        <f>IFERROR(VLOOKUP(D185,data!$A:$J,10,FALSE()),"")</f>
        <v/>
      </c>
      <c r="J185" s="3" t="str">
        <f>IFERROR(VLOOKUP(E185,data!$A:$J,10,FALSE()),"")</f>
        <v/>
      </c>
      <c r="K185" s="3" t="str">
        <f>IFERROR(VLOOKUP(F185,data!$A:$J,10,FALSE()),"")</f>
        <v/>
      </c>
      <c r="L185" s="3" t="str">
        <f t="shared" si="4"/>
        <v>E53_G136</v>
      </c>
    </row>
    <row r="186" ht="15.75" customHeight="1">
      <c r="A186" s="1" t="s">
        <v>329</v>
      </c>
      <c r="B186" s="2" t="s">
        <v>330</v>
      </c>
      <c r="C186" s="3"/>
      <c r="G186" s="3" t="str">
        <f>IFERROR(VLOOKUP(B186,data!$A:$J,10,FALSE()),"")</f>
        <v>E53_G144</v>
      </c>
      <c r="H186" s="3" t="str">
        <f>IFERROR(VLOOKUP(C186,data!$A:$J,10,FALSE()),"")</f>
        <v/>
      </c>
      <c r="I186" s="3" t="str">
        <f>IFERROR(VLOOKUP(D186,data!$A:$J,10,FALSE()),"")</f>
        <v/>
      </c>
      <c r="J186" s="3" t="str">
        <f>IFERROR(VLOOKUP(E186,data!$A:$J,10,FALSE()),"")</f>
        <v/>
      </c>
      <c r="K186" s="3" t="str">
        <f>IFERROR(VLOOKUP(F186,data!$A:$J,10,FALSE()),"")</f>
        <v/>
      </c>
      <c r="L186" s="3" t="str">
        <f t="shared" si="4"/>
        <v>E53_G144</v>
      </c>
    </row>
    <row r="187" ht="15.75" customHeight="1">
      <c r="A187" s="1" t="s">
        <v>331</v>
      </c>
      <c r="B187" s="2" t="s">
        <v>332</v>
      </c>
      <c r="C187" s="3"/>
      <c r="G187" s="3" t="str">
        <f>IFERROR(VLOOKUP(B187,data!$A:$J,10,FALSE()),"")</f>
        <v>E53_G152</v>
      </c>
      <c r="H187" s="3" t="str">
        <f>IFERROR(VLOOKUP(C187,data!$A:$J,10,FALSE()),"")</f>
        <v/>
      </c>
      <c r="I187" s="3" t="str">
        <f>IFERROR(VLOOKUP(D187,data!$A:$J,10,FALSE()),"")</f>
        <v/>
      </c>
      <c r="J187" s="3" t="str">
        <f>IFERROR(VLOOKUP(E187,data!$A:$J,10,FALSE()),"")</f>
        <v/>
      </c>
      <c r="K187" s="3" t="str">
        <f>IFERROR(VLOOKUP(F187,data!$A:$J,10,FALSE()),"")</f>
        <v/>
      </c>
      <c r="L187" s="3" t="str">
        <f t="shared" si="4"/>
        <v>E53_G152</v>
      </c>
    </row>
    <row r="188" ht="15.75" customHeight="1">
      <c r="A188" s="1" t="s">
        <v>333</v>
      </c>
      <c r="B188" s="2" t="s">
        <v>318</v>
      </c>
      <c r="C188" s="3"/>
      <c r="G188" s="3" t="str">
        <f>IFERROR(VLOOKUP(B188,data!$A:$J,10,FALSE()),"")</f>
        <v>E53_G183</v>
      </c>
      <c r="H188" s="3" t="str">
        <f>IFERROR(VLOOKUP(C188,data!$A:$J,10,FALSE()),"")</f>
        <v/>
      </c>
      <c r="I188" s="3" t="str">
        <f>IFERROR(VLOOKUP(D188,data!$A:$J,10,FALSE()),"")</f>
        <v/>
      </c>
      <c r="J188" s="3" t="str">
        <f>IFERROR(VLOOKUP(E188,data!$A:$J,10,FALSE()),"")</f>
        <v/>
      </c>
      <c r="K188" s="3" t="str">
        <f>IFERROR(VLOOKUP(F188,data!$A:$J,10,FALSE()),"")</f>
        <v/>
      </c>
      <c r="L188" s="3" t="str">
        <f t="shared" si="4"/>
        <v>E53_G183</v>
      </c>
    </row>
    <row r="189" ht="15.75" customHeight="1">
      <c r="A189" s="1" t="s">
        <v>334</v>
      </c>
      <c r="B189" s="2" t="s">
        <v>242</v>
      </c>
      <c r="C189" s="3"/>
      <c r="G189" s="3" t="str">
        <f>IFERROR(VLOOKUP(B189,data!$A:$J,10,FALSE()),"")</f>
        <v>E53_G181</v>
      </c>
      <c r="H189" s="3" t="str">
        <f>IFERROR(VLOOKUP(C189,data!$A:$J,10,FALSE()),"")</f>
        <v/>
      </c>
      <c r="I189" s="3" t="str">
        <f>IFERROR(VLOOKUP(D189,data!$A:$J,10,FALSE()),"")</f>
        <v/>
      </c>
      <c r="J189" s="3" t="str">
        <f>IFERROR(VLOOKUP(E189,data!$A:$J,10,FALSE()),"")</f>
        <v/>
      </c>
      <c r="K189" s="3" t="str">
        <f>IFERROR(VLOOKUP(F189,data!$A:$J,10,FALSE()),"")</f>
        <v/>
      </c>
      <c r="L189" s="3" t="str">
        <f t="shared" si="4"/>
        <v>E53_G181</v>
      </c>
    </row>
    <row r="190" ht="15.75" customHeight="1">
      <c r="A190" s="1" t="s">
        <v>335</v>
      </c>
      <c r="B190" s="2" t="s">
        <v>336</v>
      </c>
      <c r="C190" s="3"/>
      <c r="G190" s="3" t="str">
        <f>IFERROR(VLOOKUP(B190,data!$A:$J,10,FALSE()),"")</f>
        <v>E53_G200</v>
      </c>
      <c r="H190" s="3" t="str">
        <f>IFERROR(VLOOKUP(C190,data!$A:$J,10,FALSE()),"")</f>
        <v/>
      </c>
      <c r="I190" s="3" t="str">
        <f>IFERROR(VLOOKUP(D190,data!$A:$J,10,FALSE()),"")</f>
        <v/>
      </c>
      <c r="J190" s="3" t="str">
        <f>IFERROR(VLOOKUP(E190,data!$A:$J,10,FALSE()),"")</f>
        <v/>
      </c>
      <c r="K190" s="3" t="str">
        <f>IFERROR(VLOOKUP(F190,data!$A:$J,10,FALSE()),"")</f>
        <v/>
      </c>
      <c r="L190" s="3" t="str">
        <f t="shared" si="4"/>
        <v>E53_G200</v>
      </c>
    </row>
    <row r="191" ht="15.75" customHeight="1">
      <c r="A191" s="1" t="s">
        <v>337</v>
      </c>
      <c r="B191" s="2" t="s">
        <v>338</v>
      </c>
      <c r="C191" s="3"/>
      <c r="G191" s="3" t="str">
        <f>IFERROR(VLOOKUP(B191,data!$A:$J,10,FALSE()),"")</f>
        <v>E53_G210</v>
      </c>
      <c r="H191" s="3" t="str">
        <f>IFERROR(VLOOKUP(C191,data!$A:$J,10,FALSE()),"")</f>
        <v/>
      </c>
      <c r="I191" s="3" t="str">
        <f>IFERROR(VLOOKUP(D191,data!$A:$J,10,FALSE()),"")</f>
        <v/>
      </c>
      <c r="J191" s="3" t="str">
        <f>IFERROR(VLOOKUP(E191,data!$A:$J,10,FALSE()),"")</f>
        <v/>
      </c>
      <c r="K191" s="3" t="str">
        <f>IFERROR(VLOOKUP(F191,data!$A:$J,10,FALSE()),"")</f>
        <v/>
      </c>
      <c r="L191" s="3" t="str">
        <f t="shared" si="4"/>
        <v>E53_G210</v>
      </c>
    </row>
    <row r="192" ht="15.75" customHeight="1">
      <c r="A192" s="1" t="s">
        <v>339</v>
      </c>
      <c r="B192" s="2" t="s">
        <v>340</v>
      </c>
      <c r="G192" s="3" t="str">
        <f>IFERROR(VLOOKUP(B192,data!$A:$J,10,FALSE()),"")</f>
        <v>E53_G68</v>
      </c>
      <c r="H192" s="3" t="str">
        <f>IFERROR(VLOOKUP(C192,data!$A:$J,10,FALSE()),"")</f>
        <v/>
      </c>
      <c r="I192" s="3" t="str">
        <f>IFERROR(VLOOKUP(D192,data!$A:$J,10,FALSE()),"")</f>
        <v/>
      </c>
      <c r="J192" s="3" t="str">
        <f>IFERROR(VLOOKUP(E192,data!$A:$J,10,FALSE()),"")</f>
        <v/>
      </c>
      <c r="K192" s="3" t="str">
        <f>IFERROR(VLOOKUP(F192,data!$A:$J,10,FALSE()),"")</f>
        <v/>
      </c>
      <c r="L192" s="3" t="str">
        <f t="shared" si="4"/>
        <v>E53_G68</v>
      </c>
    </row>
    <row r="193" ht="15.75" customHeight="1">
      <c r="A193" s="1" t="s">
        <v>341</v>
      </c>
      <c r="B193" s="2" t="s">
        <v>11</v>
      </c>
      <c r="G193" s="3" t="str">
        <f>IFERROR(VLOOKUP(B193,data!$A:$J,10,FALSE()),"")</f>
        <v>E53_G218</v>
      </c>
      <c r="H193" s="3" t="str">
        <f>IFERROR(VLOOKUP(C193,data!$A:$J,10,FALSE()),"")</f>
        <v/>
      </c>
      <c r="I193" s="3" t="str">
        <f>IFERROR(VLOOKUP(D193,data!$A:$J,10,FALSE()),"")</f>
        <v/>
      </c>
      <c r="J193" s="3" t="str">
        <f>IFERROR(VLOOKUP(E193,data!$A:$J,10,FALSE()),"")</f>
        <v/>
      </c>
      <c r="K193" s="3" t="str">
        <f>IFERROR(VLOOKUP(F193,data!$A:$J,10,FALSE()),"")</f>
        <v/>
      </c>
      <c r="L193" s="3" t="str">
        <f t="shared" si="4"/>
        <v>E53_G218</v>
      </c>
    </row>
    <row r="194" ht="15.75" customHeight="1">
      <c r="A194" s="1" t="s">
        <v>342</v>
      </c>
      <c r="B194" s="2" t="s">
        <v>105</v>
      </c>
      <c r="G194" s="3" t="str">
        <f>IFERROR(VLOOKUP(B194,data!$A:$J,10,FALSE()),"")</f>
        <v>E53_G100</v>
      </c>
      <c r="H194" s="3" t="str">
        <f>IFERROR(VLOOKUP(C194,data!$A:$J,10,FALSE()),"")</f>
        <v/>
      </c>
      <c r="I194" s="3" t="str">
        <f>IFERROR(VLOOKUP(D194,data!$A:$J,10,FALSE()),"")</f>
        <v/>
      </c>
      <c r="J194" s="3" t="str">
        <f>IFERROR(VLOOKUP(E194,data!$A:$J,10,FALSE()),"")</f>
        <v/>
      </c>
      <c r="K194" s="3" t="str">
        <f>IFERROR(VLOOKUP(F194,data!$A:$J,10,FALSE()),"")</f>
        <v/>
      </c>
      <c r="L194" s="3" t="str">
        <f t="shared" si="4"/>
        <v>E53_G100</v>
      </c>
    </row>
    <row r="195" ht="15.75" customHeight="1">
      <c r="A195" s="1" t="s">
        <v>343</v>
      </c>
      <c r="B195" s="2" t="s">
        <v>41</v>
      </c>
      <c r="G195" s="3" t="str">
        <f>IFERROR(VLOOKUP(B195,data!$A:$J,10,FALSE()),"")</f>
        <v>E53_G107</v>
      </c>
      <c r="H195" s="3" t="str">
        <f>IFERROR(VLOOKUP(C195,data!$A:$J,10,FALSE()),"")</f>
        <v/>
      </c>
      <c r="I195" s="3" t="str">
        <f>IFERROR(VLOOKUP(D195,data!$A:$J,10,FALSE()),"")</f>
        <v/>
      </c>
      <c r="J195" s="3" t="str">
        <f>IFERROR(VLOOKUP(E195,data!$A:$J,10,FALSE()),"")</f>
        <v/>
      </c>
      <c r="K195" s="3" t="str">
        <f>IFERROR(VLOOKUP(F195,data!$A:$J,10,FALSE()),"")</f>
        <v/>
      </c>
      <c r="L195" s="3" t="str">
        <f t="shared" si="4"/>
        <v>E53_G107</v>
      </c>
    </row>
    <row r="196" ht="15.75" customHeight="1">
      <c r="A196" s="1" t="s">
        <v>344</v>
      </c>
      <c r="B196" s="2" t="s">
        <v>345</v>
      </c>
      <c r="G196" s="3" t="str">
        <f>IFERROR(VLOOKUP(B196,data!$A:$J,10,FALSE()),"")</f>
        <v>E53_G169</v>
      </c>
      <c r="H196" s="3" t="str">
        <f>IFERROR(VLOOKUP(C196,data!$A:$J,10,FALSE()),"")</f>
        <v/>
      </c>
      <c r="I196" s="3" t="str">
        <f>IFERROR(VLOOKUP(D196,data!$A:$J,10,FALSE()),"")</f>
        <v/>
      </c>
      <c r="J196" s="3" t="str">
        <f>IFERROR(VLOOKUP(E196,data!$A:$J,10,FALSE()),"")</f>
        <v/>
      </c>
      <c r="K196" s="3" t="str">
        <f>IFERROR(VLOOKUP(F196,data!$A:$J,10,FALSE()),"")</f>
        <v/>
      </c>
      <c r="L196" s="3" t="str">
        <f t="shared" si="4"/>
        <v>E53_G169</v>
      </c>
    </row>
    <row r="197" ht="15.75" customHeight="1">
      <c r="A197" s="1" t="s">
        <v>346</v>
      </c>
      <c r="B197" s="2" t="s">
        <v>347</v>
      </c>
      <c r="G197" s="3" t="str">
        <f>IFERROR(VLOOKUP(B197,data!$A:$J,10,FALSE()),"")</f>
        <v>E53_G232</v>
      </c>
      <c r="H197" s="3" t="str">
        <f>IFERROR(VLOOKUP(C197,data!$A:$J,10,FALSE()),"")</f>
        <v/>
      </c>
      <c r="I197" s="3" t="str">
        <f>IFERROR(VLOOKUP(D197,data!$A:$J,10,FALSE()),"")</f>
        <v/>
      </c>
      <c r="J197" s="3" t="str">
        <f>IFERROR(VLOOKUP(E197,data!$A:$J,10,FALSE()),"")</f>
        <v/>
      </c>
      <c r="K197" s="3" t="str">
        <f>IFERROR(VLOOKUP(F197,data!$A:$J,10,FALSE()),"")</f>
        <v/>
      </c>
      <c r="L197" s="3" t="str">
        <f t="shared" si="4"/>
        <v>E53_G232</v>
      </c>
    </row>
    <row r="198" ht="15.75" customHeight="1">
      <c r="A198" s="1" t="s">
        <v>348</v>
      </c>
      <c r="B198" s="2" t="s">
        <v>349</v>
      </c>
      <c r="G198" s="3" t="str">
        <f>IFERROR(VLOOKUP(B198,data!$A:$J,10,FALSE()),"")</f>
        <v>E53_G95</v>
      </c>
      <c r="H198" s="3" t="str">
        <f>IFERROR(VLOOKUP(C198,data!$A:$J,10,FALSE()),"")</f>
        <v/>
      </c>
      <c r="I198" s="3" t="str">
        <f>IFERROR(VLOOKUP(D198,data!$A:$J,10,FALSE()),"")</f>
        <v/>
      </c>
      <c r="J198" s="3" t="str">
        <f>IFERROR(VLOOKUP(E198,data!$A:$J,10,FALSE()),"")</f>
        <v/>
      </c>
      <c r="K198" s="3" t="str">
        <f>IFERROR(VLOOKUP(F198,data!$A:$J,10,FALSE()),"")</f>
        <v/>
      </c>
      <c r="L198" s="3" t="str">
        <f t="shared" si="4"/>
        <v>E53_G95</v>
      </c>
    </row>
    <row r="199" ht="15.75" customHeight="1">
      <c r="A199" s="1" t="s">
        <v>350</v>
      </c>
      <c r="B199" s="2" t="s">
        <v>351</v>
      </c>
      <c r="G199" s="3" t="str">
        <f>IFERROR(VLOOKUP(B199,data!$A:$J,10,FALSE()),"")</f>
        <v>E53_G204</v>
      </c>
      <c r="H199" s="3" t="str">
        <f>IFERROR(VLOOKUP(C199,data!$A:$J,10,FALSE()),"")</f>
        <v/>
      </c>
      <c r="I199" s="3" t="str">
        <f>IFERROR(VLOOKUP(D199,data!$A:$J,10,FALSE()),"")</f>
        <v/>
      </c>
      <c r="J199" s="3" t="str">
        <f>IFERROR(VLOOKUP(E199,data!$A:$J,10,FALSE()),"")</f>
        <v/>
      </c>
      <c r="K199" s="3" t="str">
        <f>IFERROR(VLOOKUP(F199,data!$A:$J,10,FALSE()),"")</f>
        <v/>
      </c>
      <c r="L199" s="3" t="str">
        <f t="shared" si="4"/>
        <v>E53_G204</v>
      </c>
    </row>
    <row r="200" ht="15.75" customHeight="1">
      <c r="A200" s="1" t="s">
        <v>352</v>
      </c>
      <c r="B200" s="2" t="s">
        <v>353</v>
      </c>
      <c r="G200" s="3" t="str">
        <f>IFERROR(VLOOKUP(B200,data!$A:$J,10,FALSE()),"")</f>
        <v>E53_G180</v>
      </c>
      <c r="H200" s="3" t="str">
        <f>IFERROR(VLOOKUP(C200,data!$A:$J,10,FALSE()),"")</f>
        <v/>
      </c>
      <c r="I200" s="3" t="str">
        <f>IFERROR(VLOOKUP(D200,data!$A:$J,10,FALSE()),"")</f>
        <v/>
      </c>
      <c r="J200" s="3" t="str">
        <f>IFERROR(VLOOKUP(E200,data!$A:$J,10,FALSE()),"")</f>
        <v/>
      </c>
      <c r="K200" s="3" t="str">
        <f>IFERROR(VLOOKUP(F200,data!$A:$J,10,FALSE()),"")</f>
        <v/>
      </c>
      <c r="L200" s="3" t="str">
        <f t="shared" si="4"/>
        <v>E53_G180</v>
      </c>
    </row>
    <row r="201" ht="15.75" customHeight="1">
      <c r="A201" s="1" t="s">
        <v>354</v>
      </c>
      <c r="B201" s="2" t="s">
        <v>355</v>
      </c>
      <c r="G201" s="3" t="str">
        <f>IFERROR(VLOOKUP(B201,data!$A:$J,10,FALSE()),"")</f>
        <v>E53_G82</v>
      </c>
      <c r="H201" s="3" t="str">
        <f>IFERROR(VLOOKUP(C201,data!$A:$J,10,FALSE()),"")</f>
        <v/>
      </c>
      <c r="I201" s="3" t="str">
        <f>IFERROR(VLOOKUP(D201,data!$A:$J,10,FALSE()),"")</f>
        <v/>
      </c>
      <c r="J201" s="3" t="str">
        <f>IFERROR(VLOOKUP(E201,data!$A:$J,10,FALSE()),"")</f>
        <v/>
      </c>
      <c r="K201" s="3" t="str">
        <f>IFERROR(VLOOKUP(F201,data!$A:$J,10,FALSE()),"")</f>
        <v/>
      </c>
      <c r="L201" s="3" t="str">
        <f t="shared" si="4"/>
        <v>E53_G82</v>
      </c>
    </row>
    <row r="202" ht="15.75" customHeight="1">
      <c r="A202" s="1" t="s">
        <v>356</v>
      </c>
      <c r="B202" s="2" t="s">
        <v>11</v>
      </c>
      <c r="C202" s="3">
        <v>3094802</v>
      </c>
      <c r="G202" s="3" t="str">
        <f>IFERROR(VLOOKUP(B202,data!$A:$J,10,FALSE()),"")</f>
        <v>E53_G218</v>
      </c>
      <c r="H202" s="3" t="str">
        <f>IFERROR(VLOOKUP(C202,data!$A:$J,10,FALSE()),"")</f>
        <v>E53_G96</v>
      </c>
      <c r="I202" s="3" t="str">
        <f>IFERROR(VLOOKUP(D202,data!$A:$J,10,FALSE()),"")</f>
        <v/>
      </c>
      <c r="J202" s="3" t="str">
        <f>IFERROR(VLOOKUP(E202,data!$A:$J,10,FALSE()),"")</f>
        <v/>
      </c>
      <c r="K202" s="3" t="str">
        <f>IFERROR(VLOOKUP(F202,data!$A:$J,10,FALSE()),"")</f>
        <v/>
      </c>
      <c r="L202" s="3" t="str">
        <f t="shared" si="4"/>
        <v xml:space="preserve">E53_G218 E53_G96</v>
      </c>
    </row>
    <row r="203" ht="15.75" customHeight="1">
      <c r="A203" s="1" t="s">
        <v>357</v>
      </c>
      <c r="B203" s="2" t="s">
        <v>358</v>
      </c>
      <c r="G203" s="3" t="str">
        <f>IFERROR(VLOOKUP(B203,data!$A:$J,10,FALSE()),"")</f>
        <v>E53_G71</v>
      </c>
      <c r="H203" s="3" t="str">
        <f>IFERROR(VLOOKUP(C203,data!$A:$J,10,FALSE()),"")</f>
        <v/>
      </c>
      <c r="I203" s="3" t="str">
        <f>IFERROR(VLOOKUP(D203,data!$A:$J,10,FALSE()),"")</f>
        <v/>
      </c>
      <c r="J203" s="3" t="str">
        <f>IFERROR(VLOOKUP(E203,data!$A:$J,10,FALSE()),"")</f>
        <v/>
      </c>
      <c r="K203" s="3" t="str">
        <f>IFERROR(VLOOKUP(F203,data!$A:$J,10,FALSE()),"")</f>
        <v/>
      </c>
      <c r="L203" s="3" t="str">
        <f t="shared" si="4"/>
        <v>E53_G71</v>
      </c>
    </row>
    <row r="204" ht="15.75" customHeight="1">
      <c r="A204" s="1" t="s">
        <v>359</v>
      </c>
      <c r="B204" s="2" t="s">
        <v>360</v>
      </c>
      <c r="G204" s="3" t="str">
        <f>IFERROR(VLOOKUP(B204,data!$A:$J,10,FALSE()),"")</f>
        <v>E53_G109</v>
      </c>
      <c r="H204" s="3" t="str">
        <f>IFERROR(VLOOKUP(C204,data!$A:$J,10,FALSE()),"")</f>
        <v/>
      </c>
      <c r="I204" s="3" t="str">
        <f>IFERROR(VLOOKUP(D204,data!$A:$J,10,FALSE()),"")</f>
        <v/>
      </c>
      <c r="J204" s="3" t="str">
        <f>IFERROR(VLOOKUP(E204,data!$A:$J,10,FALSE()),"")</f>
        <v/>
      </c>
      <c r="K204" s="3" t="str">
        <f>IFERROR(VLOOKUP(F204,data!$A:$J,10,FALSE()),"")</f>
        <v/>
      </c>
      <c r="L204" s="3" t="str">
        <f t="shared" si="4"/>
        <v>E53_G109</v>
      </c>
    </row>
    <row r="205" ht="15.75" customHeight="1">
      <c r="A205" s="1" t="s">
        <v>361</v>
      </c>
      <c r="B205" s="2" t="s">
        <v>362</v>
      </c>
      <c r="C205" s="3">
        <v>761168</v>
      </c>
      <c r="D205" s="3">
        <v>759734</v>
      </c>
      <c r="E205" s="3">
        <v>757033</v>
      </c>
      <c r="G205" s="3" t="str">
        <f>IFERROR(VLOOKUP(B205,data!$A:$J,10,FALSE()),"")</f>
        <v>E53_G99</v>
      </c>
      <c r="H205" s="3" t="str">
        <f>IFERROR(VLOOKUP(C205,data!$A:$J,10,FALSE()),"")</f>
        <v>E53_G158</v>
      </c>
      <c r="I205" s="3" t="str">
        <f>IFERROR(VLOOKUP(D205,data!$A:$J,10,FALSE()),"")</f>
        <v>E53_G169</v>
      </c>
      <c r="J205" s="3" t="str">
        <f>IFERROR(VLOOKUP(E205,data!$A:$J,10,FALSE()),"")</f>
        <v>E53_G195</v>
      </c>
      <c r="K205" s="3" t="str">
        <f>IFERROR(VLOOKUP(F205,data!$A:$J,10,FALSE()),"")</f>
        <v/>
      </c>
      <c r="L205" s="3" t="str">
        <f t="shared" si="4"/>
        <v xml:space="preserve">E53_G99 E53_G158 E53_G169 E53_G195</v>
      </c>
    </row>
    <row r="206" ht="15.75" customHeight="1">
      <c r="A206" s="1" t="s">
        <v>363</v>
      </c>
      <c r="B206" s="2" t="s">
        <v>9</v>
      </c>
      <c r="G206" s="3" t="str">
        <f>IFERROR(VLOOKUP(B206,data!$A:$J,10,FALSE()),"")</f>
        <v>E53_G130</v>
      </c>
      <c r="H206" s="3" t="str">
        <f>IFERROR(VLOOKUP(C206,data!$A:$J,10,FALSE()),"")</f>
        <v/>
      </c>
      <c r="I206" s="3" t="str">
        <f>IFERROR(VLOOKUP(D206,data!$A:$J,10,FALSE()),"")</f>
        <v/>
      </c>
      <c r="J206" s="3" t="str">
        <f>IFERROR(VLOOKUP(E206,data!$A:$J,10,FALSE()),"")</f>
        <v/>
      </c>
      <c r="K206" s="3" t="str">
        <f>IFERROR(VLOOKUP(F206,data!$A:$J,10,FALSE()),"")</f>
        <v/>
      </c>
      <c r="L206" s="3" t="str">
        <f t="shared" si="4"/>
        <v>E53_G130</v>
      </c>
    </row>
    <row r="207" ht="15.75" customHeight="1">
      <c r="A207" s="1" t="s">
        <v>364</v>
      </c>
      <c r="B207" s="2" t="s">
        <v>365</v>
      </c>
      <c r="G207" s="3" t="str">
        <f>IFERROR(VLOOKUP(B207,data!$A:$J,10,FALSE()),"")</f>
        <v>E53_G196</v>
      </c>
      <c r="H207" s="3" t="str">
        <f>IFERROR(VLOOKUP(C207,data!$A:$J,10,FALSE()),"")</f>
        <v/>
      </c>
      <c r="I207" s="3" t="str">
        <f>IFERROR(VLOOKUP(D207,data!$A:$J,10,FALSE()),"")</f>
        <v/>
      </c>
      <c r="J207" s="3" t="str">
        <f>IFERROR(VLOOKUP(E207,data!$A:$J,10,FALSE()),"")</f>
        <v/>
      </c>
      <c r="K207" s="3" t="str">
        <f>IFERROR(VLOOKUP(F207,data!$A:$J,10,FALSE()),"")</f>
        <v/>
      </c>
      <c r="L207" s="3" t="str">
        <f t="shared" si="4"/>
        <v>E53_G196</v>
      </c>
    </row>
    <row r="208" ht="15.75" customHeight="1">
      <c r="A208" s="1" t="s">
        <v>366</v>
      </c>
      <c r="B208" s="2" t="s">
        <v>284</v>
      </c>
      <c r="G208" s="3" t="str">
        <f>IFERROR(VLOOKUP(B208,data!$A:$J,10,FALSE()),"")</f>
        <v>E53_G224</v>
      </c>
      <c r="H208" s="3" t="str">
        <f>IFERROR(VLOOKUP(C208,data!$A:$J,10,FALSE()),"")</f>
        <v/>
      </c>
      <c r="I208" s="3" t="str">
        <f>IFERROR(VLOOKUP(D208,data!$A:$J,10,FALSE()),"")</f>
        <v/>
      </c>
      <c r="J208" s="3" t="str">
        <f>IFERROR(VLOOKUP(E208,data!$A:$J,10,FALSE()),"")</f>
        <v/>
      </c>
      <c r="K208" s="3" t="str">
        <f>IFERROR(VLOOKUP(F208,data!$A:$J,10,FALSE()),"")</f>
        <v/>
      </c>
      <c r="L208" s="3" t="str">
        <f t="shared" si="4"/>
        <v>E53_G224</v>
      </c>
    </row>
    <row r="209" ht="15.75" customHeight="1">
      <c r="A209" s="1" t="s">
        <v>367</v>
      </c>
      <c r="B209" s="2" t="s">
        <v>152</v>
      </c>
      <c r="C209" s="3">
        <v>3085151</v>
      </c>
      <c r="D209" s="3">
        <v>3099424</v>
      </c>
      <c r="G209" s="3" t="str">
        <f>IFERROR(VLOOKUP(B209,data!$A:$J,10,FALSE()),"")</f>
        <v>E53_G67</v>
      </c>
      <c r="H209" s="3" t="str">
        <f>IFERROR(VLOOKUP(C209,data!$A:$J,10,FALSE()),"")</f>
        <v>E53_G182</v>
      </c>
      <c r="I209" s="3" t="str">
        <f>IFERROR(VLOOKUP(D209,data!$A:$J,10,FALSE()),"")</f>
        <v>E53_G68</v>
      </c>
      <c r="J209" s="3" t="str">
        <f>IFERROR(VLOOKUP(E209,data!$A:$J,10,FALSE()),"")</f>
        <v/>
      </c>
      <c r="K209" s="3" t="str">
        <f>IFERROR(VLOOKUP(F209,data!$A:$J,10,FALSE()),"")</f>
        <v/>
      </c>
      <c r="L209" s="3" t="str">
        <f t="shared" si="4"/>
        <v xml:space="preserve">E53_G67 E53_G182 E53_G68</v>
      </c>
    </row>
    <row r="210" ht="15.75" customHeight="1">
      <c r="A210" s="1" t="s">
        <v>368</v>
      </c>
      <c r="B210" s="2" t="s">
        <v>369</v>
      </c>
      <c r="G210" s="3" t="str">
        <f>IFERROR(VLOOKUP(B210,data!$A:$J,10,FALSE()),"")</f>
        <v>E53_G131</v>
      </c>
      <c r="H210" s="3" t="str">
        <f>IFERROR(VLOOKUP(C210,data!$A:$J,10,FALSE()),"")</f>
        <v/>
      </c>
      <c r="I210" s="3" t="str">
        <f>IFERROR(VLOOKUP(D210,data!$A:$J,10,FALSE()),"")</f>
        <v/>
      </c>
      <c r="J210" s="3" t="str">
        <f>IFERROR(VLOOKUP(E210,data!$A:$J,10,FALSE()),"")</f>
        <v/>
      </c>
      <c r="K210" s="3" t="str">
        <f>IFERROR(VLOOKUP(F210,data!$A:$J,10,FALSE()),"")</f>
        <v/>
      </c>
      <c r="L210" s="3" t="str">
        <f t="shared" si="4"/>
        <v>E53_G131</v>
      </c>
    </row>
    <row r="211" ht="15.75" customHeight="1">
      <c r="A211" s="1" t="s">
        <v>370</v>
      </c>
      <c r="B211" s="2" t="s">
        <v>371</v>
      </c>
      <c r="G211" s="3" t="str">
        <f>IFERROR(VLOOKUP(B211,data!$A:$J,10,FALSE()),"")</f>
        <v>E53_G34</v>
      </c>
      <c r="H211" s="3" t="str">
        <f>IFERROR(VLOOKUP(C211,data!$A:$J,10,FALSE()),"")</f>
        <v/>
      </c>
      <c r="I211" s="3" t="str">
        <f>IFERROR(VLOOKUP(D211,data!$A:$J,10,FALSE()),"")</f>
        <v/>
      </c>
      <c r="J211" s="3" t="str">
        <f>IFERROR(VLOOKUP(E211,data!$A:$J,10,FALSE()),"")</f>
        <v/>
      </c>
      <c r="K211" s="3" t="str">
        <f>IFERROR(VLOOKUP(F211,data!$A:$J,10,FALSE()),"")</f>
        <v/>
      </c>
      <c r="L211" s="3" t="str">
        <f t="shared" si="4"/>
        <v>E53_G34</v>
      </c>
    </row>
    <row r="212" ht="15.75" customHeight="1">
      <c r="A212" s="1" t="s">
        <v>372</v>
      </c>
      <c r="B212" s="2" t="s">
        <v>91</v>
      </c>
      <c r="G212" s="3" t="str">
        <f>IFERROR(VLOOKUP(B212,data!$A:$J,10,FALSE()),"")</f>
        <v>E53_G40</v>
      </c>
      <c r="H212" s="3" t="str">
        <f>IFERROR(VLOOKUP(C212,data!$A:$J,10,FALSE()),"")</f>
        <v/>
      </c>
      <c r="I212" s="3" t="str">
        <f>IFERROR(VLOOKUP(D212,data!$A:$J,10,FALSE()),"")</f>
        <v/>
      </c>
      <c r="J212" s="3" t="str">
        <f>IFERROR(VLOOKUP(E212,data!$A:$J,10,FALSE()),"")</f>
        <v/>
      </c>
      <c r="K212" s="3" t="str">
        <f>IFERROR(VLOOKUP(F212,data!$A:$J,10,FALSE()),"")</f>
        <v/>
      </c>
      <c r="L212" s="3" t="str">
        <f t="shared" si="4"/>
        <v>E53_G40</v>
      </c>
    </row>
    <row r="213" ht="15.75" customHeight="1">
      <c r="A213" s="1" t="s">
        <v>373</v>
      </c>
      <c r="B213" s="2" t="s">
        <v>374</v>
      </c>
      <c r="C213" s="3">
        <v>5128581</v>
      </c>
      <c r="D213" s="3">
        <v>2643743</v>
      </c>
      <c r="G213" s="3" t="str">
        <f>IFERROR(VLOOKUP(B213,data!$A:$J,10,FALSE()),"")</f>
        <v>E53_G173</v>
      </c>
      <c r="H213" s="3" t="str">
        <f>IFERROR(VLOOKUP(C213,data!$A:$J,10,FALSE()),"")</f>
        <v>E53_G130</v>
      </c>
      <c r="I213" s="3" t="str">
        <f>IFERROR(VLOOKUP(D213,data!$A:$J,10,FALSE()),"")</f>
        <v>E53_G107</v>
      </c>
      <c r="J213" s="3" t="str">
        <f>IFERROR(VLOOKUP(E213,data!$A:$J,10,FALSE()),"")</f>
        <v/>
      </c>
      <c r="K213" s="3" t="str">
        <f>IFERROR(VLOOKUP(F213,data!$A:$J,10,FALSE()),"")</f>
        <v/>
      </c>
      <c r="L213" s="3" t="str">
        <f t="shared" si="4"/>
        <v xml:space="preserve">E53_G173 E53_G130 E53_G107</v>
      </c>
    </row>
    <row r="214" ht="15.75" customHeight="1">
      <c r="A214" s="1" t="s">
        <v>375</v>
      </c>
      <c r="B214" s="2" t="s">
        <v>9</v>
      </c>
      <c r="C214" s="3">
        <v>2643743</v>
      </c>
      <c r="G214" s="3" t="str">
        <f>IFERROR(VLOOKUP(B214,data!$A:$J,10,FALSE()),"")</f>
        <v>E53_G130</v>
      </c>
      <c r="H214" s="3" t="str">
        <f>IFERROR(VLOOKUP(C214,data!$A:$J,10,FALSE()),"")</f>
        <v>E53_G107</v>
      </c>
      <c r="I214" s="3" t="str">
        <f>IFERROR(VLOOKUP(D214,data!$A:$J,10,FALSE()),"")</f>
        <v/>
      </c>
      <c r="J214" s="3" t="str">
        <f>IFERROR(VLOOKUP(E214,data!$A:$J,10,FALSE()),"")</f>
        <v/>
      </c>
      <c r="K214" s="3" t="str">
        <f>IFERROR(VLOOKUP(F214,data!$A:$J,10,FALSE()),"")</f>
        <v/>
      </c>
      <c r="L214" s="3" t="str">
        <f t="shared" si="4"/>
        <v xml:space="preserve">E53_G130 E53_G107</v>
      </c>
    </row>
    <row r="215" ht="15.75" customHeight="1">
      <c r="A215" s="1" t="s">
        <v>376</v>
      </c>
      <c r="B215" s="2" t="s">
        <v>65</v>
      </c>
      <c r="G215" s="3" t="str">
        <f>IFERROR(VLOOKUP(B215,data!$A:$J,10,FALSE()),"")</f>
        <v>E53_G0</v>
      </c>
      <c r="H215" s="3" t="str">
        <f>IFERROR(VLOOKUP(C215,data!$A:$J,10,FALSE()),"")</f>
        <v/>
      </c>
      <c r="I215" s="3" t="str">
        <f>IFERROR(VLOOKUP(D215,data!$A:$J,10,FALSE()),"")</f>
        <v/>
      </c>
      <c r="J215" s="3" t="str">
        <f>IFERROR(VLOOKUP(E215,data!$A:$J,10,FALSE()),"")</f>
        <v/>
      </c>
      <c r="K215" s="3" t="str">
        <f>IFERROR(VLOOKUP(F215,data!$A:$J,10,FALSE()),"")</f>
        <v/>
      </c>
      <c r="L215" s="3" t="str">
        <f t="shared" si="4"/>
        <v>E53_G0</v>
      </c>
    </row>
    <row r="216" ht="15.75" customHeight="1">
      <c r="A216" s="1" t="s">
        <v>377</v>
      </c>
      <c r="B216" s="2" t="s">
        <v>378</v>
      </c>
      <c r="G216" s="3" t="str">
        <f>IFERROR(VLOOKUP(B216,data!$A:$J,10,FALSE()),"")</f>
        <v>E53_G52</v>
      </c>
      <c r="H216" s="3" t="str">
        <f>IFERROR(VLOOKUP(C216,data!$A:$J,10,FALSE()),"")</f>
        <v/>
      </c>
      <c r="I216" s="3" t="str">
        <f>IFERROR(VLOOKUP(D216,data!$A:$J,10,FALSE()),"")</f>
        <v/>
      </c>
      <c r="J216" s="3" t="str">
        <f>IFERROR(VLOOKUP(E216,data!$A:$J,10,FALSE()),"")</f>
        <v/>
      </c>
      <c r="K216" s="3" t="str">
        <f>IFERROR(VLOOKUP(F216,data!$A:$J,10,FALSE()),"")</f>
        <v/>
      </c>
      <c r="L216" s="3" t="str">
        <f t="shared" si="4"/>
        <v>E53_G52</v>
      </c>
    </row>
    <row r="217" ht="15.75" customHeight="1">
      <c r="A217" s="1" t="s">
        <v>379</v>
      </c>
      <c r="B217" s="2" t="s">
        <v>380</v>
      </c>
      <c r="G217" s="3" t="str">
        <f>IFERROR(VLOOKUP(B217,data!$A:$J,10,FALSE()),"")</f>
        <v>E53_G184</v>
      </c>
      <c r="H217" s="3" t="str">
        <f>IFERROR(VLOOKUP(C217,data!$A:$J,10,FALSE()),"")</f>
        <v/>
      </c>
      <c r="I217" s="3" t="str">
        <f>IFERROR(VLOOKUP(D217,data!$A:$J,10,FALSE()),"")</f>
        <v/>
      </c>
      <c r="J217" s="3" t="str">
        <f>IFERROR(VLOOKUP(E217,data!$A:$J,10,FALSE()),"")</f>
        <v/>
      </c>
      <c r="K217" s="3" t="str">
        <f>IFERROR(VLOOKUP(F217,data!$A:$J,10,FALSE()),"")</f>
        <v/>
      </c>
      <c r="L217" s="3" t="str">
        <f t="shared" si="4"/>
        <v>E53_G184</v>
      </c>
    </row>
    <row r="218" ht="15.75" customHeight="1">
      <c r="A218" s="1" t="s">
        <v>381</v>
      </c>
      <c r="B218" s="2" t="s">
        <v>382</v>
      </c>
      <c r="G218" s="3" t="str">
        <f>IFERROR(VLOOKUP(B218,data!$A:$J,10,FALSE()),"")</f>
        <v>E53_G58</v>
      </c>
      <c r="H218" s="3" t="str">
        <f>IFERROR(VLOOKUP(C218,data!$A:$J,10,FALSE()),"")</f>
        <v/>
      </c>
      <c r="I218" s="3" t="str">
        <f>IFERROR(VLOOKUP(D218,data!$A:$J,10,FALSE()),"")</f>
        <v/>
      </c>
      <c r="J218" s="3" t="str">
        <f>IFERROR(VLOOKUP(E218,data!$A:$J,10,FALSE()),"")</f>
        <v/>
      </c>
      <c r="K218" s="3" t="str">
        <f>IFERROR(VLOOKUP(F218,data!$A:$J,10,FALSE()),"")</f>
        <v/>
      </c>
      <c r="L218" s="3" t="str">
        <f t="shared" si="4"/>
        <v>E53_G58</v>
      </c>
    </row>
    <row r="219" ht="15.75" customHeight="1">
      <c r="A219" s="1" t="s">
        <v>383</v>
      </c>
      <c r="B219" s="2" t="s">
        <v>384</v>
      </c>
      <c r="G219" s="3" t="str">
        <f>IFERROR(VLOOKUP(B219,data!$A:$J,10,FALSE()),"")</f>
        <v>E53_G167</v>
      </c>
      <c r="H219" s="3" t="str">
        <f>IFERROR(VLOOKUP(C219,data!$A:$J,10,FALSE()),"")</f>
        <v/>
      </c>
      <c r="I219" s="3" t="str">
        <f>IFERROR(VLOOKUP(D219,data!$A:$J,10,FALSE()),"")</f>
        <v/>
      </c>
      <c r="J219" s="3" t="str">
        <f>IFERROR(VLOOKUP(E219,data!$A:$J,10,FALSE()),"")</f>
        <v/>
      </c>
      <c r="K219" s="3" t="str">
        <f>IFERROR(VLOOKUP(F219,data!$A:$J,10,FALSE()),"")</f>
        <v/>
      </c>
      <c r="L219" s="3" t="str">
        <f t="shared" si="4"/>
        <v>E53_G167</v>
      </c>
    </row>
    <row r="220" ht="15.75" customHeight="1">
      <c r="A220" s="1" t="s">
        <v>385</v>
      </c>
      <c r="B220" s="2" t="s">
        <v>386</v>
      </c>
      <c r="G220" s="3" t="str">
        <f>IFERROR(VLOOKUP(B220,data!$A:$J,10,FALSE()),"")</f>
        <v>E53_G75</v>
      </c>
      <c r="H220" s="3" t="str">
        <f>IFERROR(VLOOKUP(C220,data!$A:$J,10,FALSE()),"")</f>
        <v/>
      </c>
      <c r="I220" s="3" t="str">
        <f>IFERROR(VLOOKUP(D220,data!$A:$J,10,FALSE()),"")</f>
        <v/>
      </c>
      <c r="J220" s="3" t="str">
        <f>IFERROR(VLOOKUP(E220,data!$A:$J,10,FALSE()),"")</f>
        <v/>
      </c>
      <c r="K220" s="3" t="str">
        <f>IFERROR(VLOOKUP(F220,data!$A:$J,10,FALSE()),"")</f>
        <v/>
      </c>
      <c r="L220" s="3" t="str">
        <f t="shared" si="4"/>
        <v>E53_G75</v>
      </c>
    </row>
    <row r="221" ht="15.75" customHeight="1">
      <c r="A221" s="1" t="s">
        <v>387</v>
      </c>
      <c r="B221" s="2" t="s">
        <v>388</v>
      </c>
      <c r="G221" s="3" t="str">
        <f>IFERROR(VLOOKUP(B221,data!$A:$J,10,FALSE()),"")</f>
        <v>E53_G56</v>
      </c>
      <c r="H221" s="3" t="str">
        <f>IFERROR(VLOOKUP(C221,data!$A:$J,10,FALSE()),"")</f>
        <v/>
      </c>
      <c r="I221" s="3" t="str">
        <f>IFERROR(VLOOKUP(D221,data!$A:$J,10,FALSE()),"")</f>
        <v/>
      </c>
      <c r="J221" s="3" t="str">
        <f>IFERROR(VLOOKUP(E221,data!$A:$J,10,FALSE()),"")</f>
        <v/>
      </c>
      <c r="K221" s="3" t="str">
        <f>IFERROR(VLOOKUP(F221,data!$A:$J,10,FALSE()),"")</f>
        <v/>
      </c>
      <c r="L221" s="3" t="str">
        <f t="shared" si="4"/>
        <v>E53_G56</v>
      </c>
    </row>
    <row r="222" ht="15.75" customHeight="1">
      <c r="A222" s="1" t="s">
        <v>389</v>
      </c>
      <c r="B222" s="2" t="s">
        <v>390</v>
      </c>
      <c r="G222" s="3" t="str">
        <f>IFERROR(VLOOKUP(B222,data!$A:$J,10,FALSE()),"")</f>
        <v>E53_G220</v>
      </c>
      <c r="H222" s="3" t="str">
        <f>IFERROR(VLOOKUP(C222,data!$A:$J,10,FALSE()),"")</f>
        <v/>
      </c>
      <c r="I222" s="3" t="str">
        <f>IFERROR(VLOOKUP(D222,data!$A:$J,10,FALSE()),"")</f>
        <v/>
      </c>
      <c r="J222" s="3" t="str">
        <f>IFERROR(VLOOKUP(E222,data!$A:$J,10,FALSE()),"")</f>
        <v/>
      </c>
      <c r="K222" s="3" t="str">
        <f>IFERROR(VLOOKUP(F222,data!$A:$J,10,FALSE()),"")</f>
        <v/>
      </c>
      <c r="L222" s="3" t="str">
        <f t="shared" si="4"/>
        <v>E53_G220</v>
      </c>
    </row>
    <row r="223" ht="15.75" customHeight="1">
      <c r="A223" s="1" t="s">
        <v>391</v>
      </c>
      <c r="B223" s="2" t="s">
        <v>392</v>
      </c>
      <c r="G223" s="3" t="str">
        <f>IFERROR(VLOOKUP(B223,data!$A:$J,10,FALSE()),"")</f>
        <v>E53_G112</v>
      </c>
      <c r="H223" s="3" t="str">
        <f>IFERROR(VLOOKUP(C223,data!$A:$J,10,FALSE()),"")</f>
        <v/>
      </c>
      <c r="I223" s="3" t="str">
        <f>IFERROR(VLOOKUP(D223,data!$A:$J,10,FALSE()),"")</f>
        <v/>
      </c>
      <c r="J223" s="3" t="str">
        <f>IFERROR(VLOOKUP(E223,data!$A:$J,10,FALSE()),"")</f>
        <v/>
      </c>
      <c r="K223" s="3" t="str">
        <f>IFERROR(VLOOKUP(F223,data!$A:$J,10,FALSE()),"")</f>
        <v/>
      </c>
      <c r="L223" s="3" t="str">
        <f t="shared" si="4"/>
        <v>E53_G112</v>
      </c>
    </row>
    <row r="224" ht="15.75" customHeight="1">
      <c r="A224" s="1" t="s">
        <v>393</v>
      </c>
      <c r="B224" s="2" t="s">
        <v>394</v>
      </c>
      <c r="G224" s="3" t="str">
        <f>IFERROR(VLOOKUP(B224,data!$A:$J,10,FALSE()),"")</f>
        <v>E53_G32</v>
      </c>
      <c r="H224" s="3" t="str">
        <f>IFERROR(VLOOKUP(C224,data!$A:$J,10,FALSE()),"")</f>
        <v/>
      </c>
      <c r="I224" s="3" t="str">
        <f>IFERROR(VLOOKUP(D224,data!$A:$J,10,FALSE()),"")</f>
        <v/>
      </c>
      <c r="J224" s="3" t="str">
        <f>IFERROR(VLOOKUP(E224,data!$A:$J,10,FALSE()),"")</f>
        <v/>
      </c>
      <c r="K224" s="3" t="str">
        <f>IFERROR(VLOOKUP(F224,data!$A:$J,10,FALSE()),"")</f>
        <v/>
      </c>
      <c r="L224" s="3" t="str">
        <f t="shared" si="4"/>
        <v>E53_G32</v>
      </c>
    </row>
    <row r="225" ht="15.75" customHeight="1">
      <c r="A225" s="1" t="s">
        <v>395</v>
      </c>
      <c r="B225" s="2" t="s">
        <v>396</v>
      </c>
      <c r="G225" s="3" t="str">
        <f>IFERROR(VLOOKUP(B225,data!$A:$J,10,FALSE()),"")</f>
        <v>E53_G54</v>
      </c>
      <c r="H225" s="3" t="str">
        <f>IFERROR(VLOOKUP(C225,data!$A:$J,10,FALSE()),"")</f>
        <v/>
      </c>
      <c r="I225" s="3" t="str">
        <f>IFERROR(VLOOKUP(D225,data!$A:$J,10,FALSE()),"")</f>
        <v/>
      </c>
      <c r="J225" s="3" t="str">
        <f>IFERROR(VLOOKUP(E225,data!$A:$J,10,FALSE()),"")</f>
        <v/>
      </c>
      <c r="K225" s="3" t="str">
        <f>IFERROR(VLOOKUP(F225,data!$A:$J,10,FALSE()),"")</f>
        <v/>
      </c>
      <c r="L225" s="3" t="str">
        <f t="shared" si="4"/>
        <v>E53_G54</v>
      </c>
    </row>
    <row r="226" ht="15.75" customHeight="1">
      <c r="A226" s="1" t="s">
        <v>397</v>
      </c>
      <c r="B226" s="2" t="s">
        <v>124</v>
      </c>
      <c r="G226" s="3" t="str">
        <f>IFERROR(VLOOKUP(B226,data!$A:$J,10,FALSE()),"")</f>
        <v>E53_G19</v>
      </c>
      <c r="H226" s="3" t="str">
        <f>IFERROR(VLOOKUP(C226,data!$A:$J,10,FALSE()),"")</f>
        <v/>
      </c>
      <c r="I226" s="3" t="str">
        <f>IFERROR(VLOOKUP(D226,data!$A:$J,10,FALSE()),"")</f>
        <v/>
      </c>
      <c r="J226" s="3" t="str">
        <f>IFERROR(VLOOKUP(E226,data!$A:$J,10,FALSE()),"")</f>
        <v/>
      </c>
      <c r="K226" s="3" t="str">
        <f>IFERROR(VLOOKUP(F226,data!$A:$J,10,FALSE()),"")</f>
        <v/>
      </c>
      <c r="L226" s="3" t="str">
        <f t="shared" si="4"/>
        <v>E53_G19</v>
      </c>
    </row>
    <row r="227" ht="15.75" customHeight="1">
      <c r="A227" s="1" t="s">
        <v>398</v>
      </c>
      <c r="B227" s="2" t="s">
        <v>257</v>
      </c>
      <c r="G227" s="3" t="str">
        <f>IFERROR(VLOOKUP(B227,data!$A:$J,10,FALSE()),"")</f>
        <v>E53_G197</v>
      </c>
      <c r="H227" s="3" t="str">
        <f>IFERROR(VLOOKUP(C227,data!$A:$J,10,FALSE()),"")</f>
        <v/>
      </c>
      <c r="I227" s="3" t="str">
        <f>IFERROR(VLOOKUP(D227,data!$A:$J,10,FALSE()),"")</f>
        <v/>
      </c>
      <c r="J227" s="3" t="str">
        <f>IFERROR(VLOOKUP(E227,data!$A:$J,10,FALSE()),"")</f>
        <v/>
      </c>
      <c r="K227" s="3" t="str">
        <f>IFERROR(VLOOKUP(F227,data!$A:$J,10,FALSE()),"")</f>
        <v/>
      </c>
      <c r="L227" s="3" t="str">
        <f t="shared" si="4"/>
        <v>E53_G197</v>
      </c>
    </row>
    <row r="228" ht="15.75" customHeight="1">
      <c r="A228" s="1" t="s">
        <v>399</v>
      </c>
      <c r="B228" s="2" t="s">
        <v>185</v>
      </c>
      <c r="G228" s="3" t="str">
        <f>IFERROR(VLOOKUP(B228,data!$A:$J,10,FALSE()),"")</f>
        <v>E53_G103</v>
      </c>
      <c r="H228" s="3" t="str">
        <f>IFERROR(VLOOKUP(C228,data!$A:$J,10,FALSE()),"")</f>
        <v/>
      </c>
      <c r="I228" s="3" t="str">
        <f>IFERROR(VLOOKUP(D228,data!$A:$J,10,FALSE()),"")</f>
        <v/>
      </c>
      <c r="J228" s="3" t="str">
        <f>IFERROR(VLOOKUP(E228,data!$A:$J,10,FALSE()),"")</f>
        <v/>
      </c>
      <c r="K228" s="3" t="str">
        <f>IFERROR(VLOOKUP(F228,data!$A:$J,10,FALSE()),"")</f>
        <v/>
      </c>
      <c r="L228" s="3" t="str">
        <f t="shared" ref="L228:L291" si="5">_xlfn.TEXTJOIN(" ",TRUE(),G228:K228)</f>
        <v>E53_G103</v>
      </c>
    </row>
    <row r="229" ht="15.75" customHeight="1">
      <c r="A229" s="1" t="s">
        <v>400</v>
      </c>
      <c r="B229" s="2" t="s">
        <v>401</v>
      </c>
      <c r="G229" s="3" t="str">
        <f>IFERROR(VLOOKUP(B229,data!$A:$J,10,FALSE()),"")</f>
        <v>E53_G22</v>
      </c>
      <c r="H229" s="3" t="str">
        <f>IFERROR(VLOOKUP(C229,data!$A:$J,10,FALSE()),"")</f>
        <v/>
      </c>
      <c r="I229" s="3" t="str">
        <f>IFERROR(VLOOKUP(D229,data!$A:$J,10,FALSE()),"")</f>
        <v/>
      </c>
      <c r="J229" s="3" t="str">
        <f>IFERROR(VLOOKUP(E229,data!$A:$J,10,FALSE()),"")</f>
        <v/>
      </c>
      <c r="K229" s="3" t="str">
        <f>IFERROR(VLOOKUP(F229,data!$A:$J,10,FALSE()),"")</f>
        <v/>
      </c>
      <c r="L229" s="3" t="str">
        <f t="shared" si="5"/>
        <v>E53_G22</v>
      </c>
    </row>
    <row r="230" ht="15.75" customHeight="1">
      <c r="A230" s="1" t="s">
        <v>402</v>
      </c>
      <c r="B230" s="2" t="s">
        <v>403</v>
      </c>
      <c r="G230" s="3" t="str">
        <f>IFERROR(VLOOKUP(B230,data!$A:$J,10,FALSE()),"")</f>
        <v>E53_G45</v>
      </c>
      <c r="H230" s="3" t="str">
        <f>IFERROR(VLOOKUP(C230,data!$A:$J,10,FALSE()),"")</f>
        <v/>
      </c>
      <c r="I230" s="3" t="str">
        <f>IFERROR(VLOOKUP(D230,data!$A:$J,10,FALSE()),"")</f>
        <v/>
      </c>
      <c r="J230" s="3" t="str">
        <f>IFERROR(VLOOKUP(E230,data!$A:$J,10,FALSE()),"")</f>
        <v/>
      </c>
      <c r="K230" s="3" t="str">
        <f>IFERROR(VLOOKUP(F230,data!$A:$J,10,FALSE()),"")</f>
        <v/>
      </c>
      <c r="L230" s="3" t="str">
        <f t="shared" si="5"/>
        <v>E53_G45</v>
      </c>
    </row>
    <row r="231" ht="15.75" customHeight="1">
      <c r="A231" s="1" t="s">
        <v>404</v>
      </c>
      <c r="B231" s="2" t="s">
        <v>221</v>
      </c>
      <c r="G231" s="3" t="str">
        <f>IFERROR(VLOOKUP(B231,data!$A:$J,10,FALSE()),"")</f>
        <v>E53_G142</v>
      </c>
      <c r="H231" s="3" t="str">
        <f>IFERROR(VLOOKUP(C231,data!$A:$J,10,FALSE()),"")</f>
        <v/>
      </c>
      <c r="I231" s="3" t="str">
        <f>IFERROR(VLOOKUP(D231,data!$A:$J,10,FALSE()),"")</f>
        <v/>
      </c>
      <c r="J231" s="3" t="str">
        <f>IFERROR(VLOOKUP(E231,data!$A:$J,10,FALSE()),"")</f>
        <v/>
      </c>
      <c r="K231" s="3" t="str">
        <f>IFERROR(VLOOKUP(F231,data!$A:$J,10,FALSE()),"")</f>
        <v/>
      </c>
      <c r="L231" s="3" t="str">
        <f t="shared" si="5"/>
        <v>E53_G142</v>
      </c>
    </row>
    <row r="232" ht="15.75" customHeight="1">
      <c r="A232" s="1" t="s">
        <v>405</v>
      </c>
      <c r="B232" s="2" t="s">
        <v>406</v>
      </c>
      <c r="G232" s="3" t="str">
        <f>IFERROR(VLOOKUP(B232,data!$A:$J,10,FALSE()),"")</f>
        <v>E53_G149</v>
      </c>
      <c r="H232" s="3" t="str">
        <f>IFERROR(VLOOKUP(C232,data!$A:$J,10,FALSE()),"")</f>
        <v/>
      </c>
      <c r="I232" s="3" t="str">
        <f>IFERROR(VLOOKUP(D232,data!$A:$J,10,FALSE()),"")</f>
        <v/>
      </c>
      <c r="J232" s="3" t="str">
        <f>IFERROR(VLOOKUP(E232,data!$A:$J,10,FALSE()),"")</f>
        <v/>
      </c>
      <c r="K232" s="3" t="str">
        <f>IFERROR(VLOOKUP(F232,data!$A:$J,10,FALSE()),"")</f>
        <v/>
      </c>
      <c r="L232" s="3" t="str">
        <f t="shared" si="5"/>
        <v>E53_G149</v>
      </c>
    </row>
    <row r="233" ht="15.75" customHeight="1">
      <c r="A233" s="1" t="s">
        <v>407</v>
      </c>
      <c r="B233" s="2" t="s">
        <v>11</v>
      </c>
      <c r="G233" s="3" t="str">
        <f>IFERROR(VLOOKUP(B233,data!$A:$J,10,FALSE()),"")</f>
        <v>E53_G218</v>
      </c>
      <c r="H233" s="3" t="str">
        <f>IFERROR(VLOOKUP(C233,data!$A:$J,10,FALSE()),"")</f>
        <v/>
      </c>
      <c r="I233" s="3" t="str">
        <f>IFERROR(VLOOKUP(D233,data!$A:$J,10,FALSE()),"")</f>
        <v/>
      </c>
      <c r="J233" s="3" t="str">
        <f>IFERROR(VLOOKUP(E233,data!$A:$J,10,FALSE()),"")</f>
        <v/>
      </c>
      <c r="K233" s="3" t="str">
        <f>IFERROR(VLOOKUP(F233,data!$A:$J,10,FALSE()),"")</f>
        <v/>
      </c>
      <c r="L233" s="3" t="str">
        <f t="shared" si="5"/>
        <v>E53_G218</v>
      </c>
    </row>
    <row r="234" ht="15.75" customHeight="1">
      <c r="A234" s="1" t="s">
        <v>408</v>
      </c>
      <c r="B234" s="2" t="s">
        <v>55</v>
      </c>
      <c r="G234" s="3" t="str">
        <f>IFERROR(VLOOKUP(B234,data!$A:$J,10,FALSE()),"")</f>
        <v>E53_G126</v>
      </c>
      <c r="H234" s="3" t="str">
        <f>IFERROR(VLOOKUP(C234,data!$A:$J,10,FALSE()),"")</f>
        <v/>
      </c>
      <c r="I234" s="3" t="str">
        <f>IFERROR(VLOOKUP(D234,data!$A:$J,10,FALSE()),"")</f>
        <v/>
      </c>
      <c r="J234" s="3" t="str">
        <f>IFERROR(VLOOKUP(E234,data!$A:$J,10,FALSE()),"")</f>
        <v/>
      </c>
      <c r="K234" s="3" t="str">
        <f>IFERROR(VLOOKUP(F234,data!$A:$J,10,FALSE()),"")</f>
        <v/>
      </c>
      <c r="L234" s="3" t="str">
        <f t="shared" si="5"/>
        <v>E53_G126</v>
      </c>
    </row>
    <row r="235" ht="15.75" customHeight="1">
      <c r="A235" s="1" t="s">
        <v>409</v>
      </c>
      <c r="B235" s="2" t="s">
        <v>410</v>
      </c>
      <c r="G235" s="3" t="str">
        <f>IFERROR(VLOOKUP(B235,data!$A:$J,10,FALSE()),"")</f>
        <v>E53_G155</v>
      </c>
      <c r="H235" s="3" t="str">
        <f>IFERROR(VLOOKUP(C235,data!$A:$J,10,FALSE()),"")</f>
        <v/>
      </c>
      <c r="I235" s="3" t="str">
        <f>IFERROR(VLOOKUP(D235,data!$A:$J,10,FALSE()),"")</f>
        <v/>
      </c>
      <c r="J235" s="3" t="str">
        <f>IFERROR(VLOOKUP(E235,data!$A:$J,10,FALSE()),"")</f>
        <v/>
      </c>
      <c r="K235" s="3" t="str">
        <f>IFERROR(VLOOKUP(F235,data!$A:$J,10,FALSE()),"")</f>
        <v/>
      </c>
      <c r="L235" s="3" t="str">
        <f t="shared" si="5"/>
        <v>E53_G155</v>
      </c>
    </row>
    <row r="236" ht="15.75" customHeight="1">
      <c r="A236" s="1" t="s">
        <v>411</v>
      </c>
      <c r="B236" s="2" t="s">
        <v>412</v>
      </c>
      <c r="G236" s="3" t="str">
        <f>IFERROR(VLOOKUP(B236,data!$A:$J,10,FALSE()),"")</f>
        <v>E53_G64</v>
      </c>
      <c r="H236" s="3" t="str">
        <f>IFERROR(VLOOKUP(C236,data!$A:$J,10,FALSE()),"")</f>
        <v/>
      </c>
      <c r="I236" s="3" t="str">
        <f>IFERROR(VLOOKUP(D236,data!$A:$J,10,FALSE()),"")</f>
        <v/>
      </c>
      <c r="J236" s="3" t="str">
        <f>IFERROR(VLOOKUP(E236,data!$A:$J,10,FALSE()),"")</f>
        <v/>
      </c>
      <c r="K236" s="3" t="str">
        <f>IFERROR(VLOOKUP(F236,data!$A:$J,10,FALSE()),"")</f>
        <v/>
      </c>
      <c r="L236" s="3" t="str">
        <f t="shared" si="5"/>
        <v>E53_G64</v>
      </c>
    </row>
    <row r="237" ht="15.75" customHeight="1">
      <c r="A237" s="1" t="s">
        <v>413</v>
      </c>
      <c r="B237" s="2" t="s">
        <v>414</v>
      </c>
      <c r="G237" s="3" t="str">
        <f>IFERROR(VLOOKUP(B237,data!$A:$J,10,FALSE()),"")</f>
        <v>E53_G137</v>
      </c>
      <c r="H237" s="3" t="str">
        <f>IFERROR(VLOOKUP(C237,data!$A:$J,10,FALSE()),"")</f>
        <v/>
      </c>
      <c r="I237" s="3" t="str">
        <f>IFERROR(VLOOKUP(D237,data!$A:$J,10,FALSE()),"")</f>
        <v/>
      </c>
      <c r="J237" s="3" t="str">
        <f>IFERROR(VLOOKUP(E237,data!$A:$J,10,FALSE()),"")</f>
        <v/>
      </c>
      <c r="K237" s="3" t="str">
        <f>IFERROR(VLOOKUP(F237,data!$A:$J,10,FALSE()),"")</f>
        <v/>
      </c>
      <c r="L237" s="3" t="str">
        <f t="shared" si="5"/>
        <v>E53_G137</v>
      </c>
    </row>
    <row r="238" ht="15.75" customHeight="1">
      <c r="A238" s="1" t="s">
        <v>415</v>
      </c>
      <c r="B238" s="2" t="s">
        <v>416</v>
      </c>
      <c r="G238" s="3" t="str">
        <f>IFERROR(VLOOKUP(B238,data!$A:$J,10,FALSE()),"")</f>
        <v>E53_G41</v>
      </c>
      <c r="H238" s="3" t="str">
        <f>IFERROR(VLOOKUP(C238,data!$A:$J,10,FALSE()),"")</f>
        <v/>
      </c>
      <c r="I238" s="3" t="str">
        <f>IFERROR(VLOOKUP(D238,data!$A:$J,10,FALSE()),"")</f>
        <v/>
      </c>
      <c r="J238" s="3" t="str">
        <f>IFERROR(VLOOKUP(E238,data!$A:$J,10,FALSE()),"")</f>
        <v/>
      </c>
      <c r="K238" s="3" t="str">
        <f>IFERROR(VLOOKUP(F238,data!$A:$J,10,FALSE()),"")</f>
        <v/>
      </c>
      <c r="L238" s="3" t="str">
        <f t="shared" si="5"/>
        <v>E53_G41</v>
      </c>
    </row>
    <row r="239" ht="15.75" customHeight="1">
      <c r="A239" s="1" t="s">
        <v>417</v>
      </c>
      <c r="B239" s="2" t="s">
        <v>418</v>
      </c>
      <c r="G239" s="3" t="str">
        <f>IFERROR(VLOOKUP(B239,data!$A:$J,10,FALSE()),"")</f>
        <v>E53_G77</v>
      </c>
      <c r="H239" s="3" t="str">
        <f>IFERROR(VLOOKUP(C239,data!$A:$J,10,FALSE()),"")</f>
        <v/>
      </c>
      <c r="I239" s="3" t="str">
        <f>IFERROR(VLOOKUP(D239,data!$A:$J,10,FALSE()),"")</f>
        <v/>
      </c>
      <c r="J239" s="3" t="str">
        <f>IFERROR(VLOOKUP(E239,data!$A:$J,10,FALSE()),"")</f>
        <v/>
      </c>
      <c r="K239" s="3" t="str">
        <f>IFERROR(VLOOKUP(F239,data!$A:$J,10,FALSE()),"")</f>
        <v/>
      </c>
      <c r="L239" s="3" t="str">
        <f t="shared" si="5"/>
        <v>E53_G77</v>
      </c>
    </row>
    <row r="240" ht="15.75" customHeight="1">
      <c r="A240" s="1" t="s">
        <v>419</v>
      </c>
      <c r="B240" s="2" t="s">
        <v>11</v>
      </c>
      <c r="G240" s="3" t="str">
        <f>IFERROR(VLOOKUP(B240,data!$A:$J,10,FALSE()),"")</f>
        <v>E53_G218</v>
      </c>
      <c r="H240" s="3" t="str">
        <f>IFERROR(VLOOKUP(C240,data!$A:$J,10,FALSE()),"")</f>
        <v/>
      </c>
      <c r="I240" s="3" t="str">
        <f>IFERROR(VLOOKUP(D240,data!$A:$J,10,FALSE()),"")</f>
        <v/>
      </c>
      <c r="J240" s="3" t="str">
        <f>IFERROR(VLOOKUP(E240,data!$A:$J,10,FALSE()),"")</f>
        <v/>
      </c>
      <c r="K240" s="3" t="str">
        <f>IFERROR(VLOOKUP(F240,data!$A:$J,10,FALSE()),"")</f>
        <v/>
      </c>
      <c r="L240" s="3" t="str">
        <f t="shared" si="5"/>
        <v>E53_G218</v>
      </c>
    </row>
    <row r="241" ht="15.75" customHeight="1">
      <c r="A241" s="1" t="s">
        <v>420</v>
      </c>
      <c r="B241" s="2" t="s">
        <v>278</v>
      </c>
      <c r="G241" s="3" t="str">
        <f>IFERROR(VLOOKUP(B241,data!$A:$J,10,FALSE()),"")</f>
        <v>E53_G213</v>
      </c>
      <c r="H241" s="3" t="str">
        <f>IFERROR(VLOOKUP(C241,data!$A:$J,10,FALSE()),"")</f>
        <v/>
      </c>
      <c r="I241" s="3" t="str">
        <f>IFERROR(VLOOKUP(D241,data!$A:$J,10,FALSE()),"")</f>
        <v/>
      </c>
      <c r="J241" s="3" t="str">
        <f>IFERROR(VLOOKUP(E241,data!$A:$J,10,FALSE()),"")</f>
        <v/>
      </c>
      <c r="K241" s="3" t="str">
        <f>IFERROR(VLOOKUP(F241,data!$A:$J,10,FALSE()),"")</f>
        <v/>
      </c>
      <c r="L241" s="3" t="str">
        <f t="shared" si="5"/>
        <v>E53_G213</v>
      </c>
    </row>
    <row r="242" ht="15.75" customHeight="1">
      <c r="A242" s="1" t="s">
        <v>421</v>
      </c>
      <c r="B242" s="2" t="s">
        <v>422</v>
      </c>
      <c r="G242" s="3" t="str">
        <f>IFERROR(VLOOKUP(B242,data!$A:$J,10,FALSE()),"")</f>
        <v>E53_G62</v>
      </c>
      <c r="H242" s="3" t="str">
        <f>IFERROR(VLOOKUP(C242,data!$A:$J,10,FALSE()),"")</f>
        <v/>
      </c>
      <c r="I242" s="3" t="str">
        <f>IFERROR(VLOOKUP(D242,data!$A:$J,10,FALSE()),"")</f>
        <v/>
      </c>
      <c r="J242" s="3" t="str">
        <f>IFERROR(VLOOKUP(E242,data!$A:$J,10,FALSE()),"")</f>
        <v/>
      </c>
      <c r="K242" s="3" t="str">
        <f>IFERROR(VLOOKUP(F242,data!$A:$J,10,FALSE()),"")</f>
        <v/>
      </c>
      <c r="L242" s="3" t="str">
        <f t="shared" si="5"/>
        <v>E53_G62</v>
      </c>
    </row>
    <row r="243" ht="15.75" customHeight="1">
      <c r="A243" s="1" t="s">
        <v>423</v>
      </c>
      <c r="B243" s="2" t="s">
        <v>424</v>
      </c>
      <c r="G243" s="3" t="str">
        <f>IFERROR(VLOOKUP(B243,data!$A:$J,10,FALSE()),"")</f>
        <v>E53_G162</v>
      </c>
      <c r="H243" s="3" t="str">
        <f>IFERROR(VLOOKUP(C243,data!$A:$J,10,FALSE()),"")</f>
        <v/>
      </c>
      <c r="I243" s="3" t="str">
        <f>IFERROR(VLOOKUP(D243,data!$A:$J,10,FALSE()),"")</f>
        <v/>
      </c>
      <c r="J243" s="3" t="str">
        <f>IFERROR(VLOOKUP(E243,data!$A:$J,10,FALSE()),"")</f>
        <v/>
      </c>
      <c r="K243" s="3" t="str">
        <f>IFERROR(VLOOKUP(F243,data!$A:$J,10,FALSE()),"")</f>
        <v/>
      </c>
      <c r="L243" s="3" t="str">
        <f t="shared" si="5"/>
        <v>E53_G162</v>
      </c>
    </row>
    <row r="244" ht="15.75" customHeight="1">
      <c r="A244" s="1" t="s">
        <v>425</v>
      </c>
      <c r="B244" s="2" t="s">
        <v>426</v>
      </c>
      <c r="G244" s="3" t="str">
        <f>IFERROR(VLOOKUP(B244,data!$A:$J,10,FALSE()),"")</f>
        <v>E53_G161</v>
      </c>
      <c r="H244" s="3" t="str">
        <f>IFERROR(VLOOKUP(C244,data!$A:$J,10,FALSE()),"")</f>
        <v/>
      </c>
      <c r="I244" s="3" t="str">
        <f>IFERROR(VLOOKUP(D244,data!$A:$J,10,FALSE()),"")</f>
        <v/>
      </c>
      <c r="J244" s="3" t="str">
        <f>IFERROR(VLOOKUP(E244,data!$A:$J,10,FALSE()),"")</f>
        <v/>
      </c>
      <c r="K244" s="3" t="str">
        <f>IFERROR(VLOOKUP(F244,data!$A:$J,10,FALSE()),"")</f>
        <v/>
      </c>
      <c r="L244" s="3" t="str">
        <f t="shared" si="5"/>
        <v>E53_G161</v>
      </c>
    </row>
    <row r="245" ht="15.75" customHeight="1">
      <c r="A245" s="1" t="s">
        <v>427</v>
      </c>
      <c r="B245" s="2" t="s">
        <v>428</v>
      </c>
      <c r="G245" s="3" t="str">
        <f>IFERROR(VLOOKUP(B245,data!$A:$J,10,FALSE()),"")</f>
        <v>E53_G154</v>
      </c>
      <c r="H245" s="3" t="str">
        <f>IFERROR(VLOOKUP(C245,data!$A:$J,10,FALSE()),"")</f>
        <v/>
      </c>
      <c r="I245" s="3" t="str">
        <f>IFERROR(VLOOKUP(D245,data!$A:$J,10,FALSE()),"")</f>
        <v/>
      </c>
      <c r="J245" s="3" t="str">
        <f>IFERROR(VLOOKUP(E245,data!$A:$J,10,FALSE()),"")</f>
        <v/>
      </c>
      <c r="K245" s="3" t="str">
        <f>IFERROR(VLOOKUP(F245,data!$A:$J,10,FALSE()),"")</f>
        <v/>
      </c>
      <c r="L245" s="3" t="str">
        <f t="shared" si="5"/>
        <v>E53_G154</v>
      </c>
    </row>
    <row r="246" ht="15.75" customHeight="1">
      <c r="A246" s="1" t="s">
        <v>429</v>
      </c>
      <c r="B246" s="2" t="s">
        <v>196</v>
      </c>
      <c r="G246" s="3" t="str">
        <f>IFERROR(VLOOKUP(B246,data!$A:$J,10,FALSE()),"")</f>
        <v>E53_G116</v>
      </c>
      <c r="H246" s="3" t="str">
        <f>IFERROR(VLOOKUP(C246,data!$A:$J,10,FALSE()),"")</f>
        <v/>
      </c>
      <c r="I246" s="3" t="str">
        <f>IFERROR(VLOOKUP(D246,data!$A:$J,10,FALSE()),"")</f>
        <v/>
      </c>
      <c r="J246" s="3" t="str">
        <f>IFERROR(VLOOKUP(E246,data!$A:$J,10,FALSE()),"")</f>
        <v/>
      </c>
      <c r="K246" s="3" t="str">
        <f>IFERROR(VLOOKUP(F246,data!$A:$J,10,FALSE()),"")</f>
        <v/>
      </c>
      <c r="L246" s="3" t="str">
        <f t="shared" si="5"/>
        <v>E53_G116</v>
      </c>
    </row>
    <row r="247" ht="15.75" customHeight="1">
      <c r="A247" s="1" t="s">
        <v>430</v>
      </c>
      <c r="B247" s="2" t="s">
        <v>431</v>
      </c>
      <c r="G247" s="3" t="str">
        <f>IFERROR(VLOOKUP(B247,data!$A:$J,10,FALSE()),"")</f>
        <v>E53_G72</v>
      </c>
      <c r="H247" s="3" t="str">
        <f>IFERROR(VLOOKUP(C247,data!$A:$J,10,FALSE()),"")</f>
        <v/>
      </c>
      <c r="I247" s="3" t="str">
        <f>IFERROR(VLOOKUP(D247,data!$A:$J,10,FALSE()),"")</f>
        <v/>
      </c>
      <c r="J247" s="3" t="str">
        <f>IFERROR(VLOOKUP(E247,data!$A:$J,10,FALSE()),"")</f>
        <v/>
      </c>
      <c r="K247" s="3" t="str">
        <f>IFERROR(VLOOKUP(F247,data!$A:$J,10,FALSE()),"")</f>
        <v/>
      </c>
      <c r="L247" s="3" t="str">
        <f t="shared" si="5"/>
        <v>E53_G72</v>
      </c>
    </row>
    <row r="248" ht="15.75" customHeight="1">
      <c r="A248" s="1" t="s">
        <v>432</v>
      </c>
      <c r="B248" s="2" t="s">
        <v>433</v>
      </c>
      <c r="G248" s="3" t="str">
        <f>IFERROR(VLOOKUP(B248,data!$A:$J,10,FALSE()),"")</f>
        <v>E53_G93</v>
      </c>
      <c r="H248" s="3" t="str">
        <f>IFERROR(VLOOKUP(C248,data!$A:$J,10,FALSE()),"")</f>
        <v/>
      </c>
      <c r="I248" s="3" t="str">
        <f>IFERROR(VLOOKUP(D248,data!$A:$J,10,FALSE()),"")</f>
        <v/>
      </c>
      <c r="J248" s="3" t="str">
        <f>IFERROR(VLOOKUP(E248,data!$A:$J,10,FALSE()),"")</f>
        <v/>
      </c>
      <c r="K248" s="3" t="str">
        <f>IFERROR(VLOOKUP(F248,data!$A:$J,10,FALSE()),"")</f>
        <v/>
      </c>
      <c r="L248" s="3" t="str">
        <f t="shared" si="5"/>
        <v>E53_G93</v>
      </c>
    </row>
    <row r="249" ht="15.75" customHeight="1">
      <c r="A249" s="1" t="s">
        <v>434</v>
      </c>
      <c r="B249" s="2" t="s">
        <v>351</v>
      </c>
      <c r="G249" s="3" t="str">
        <f>IFERROR(VLOOKUP(B249,data!$A:$J,10,FALSE()),"")</f>
        <v>E53_G204</v>
      </c>
      <c r="H249" s="3" t="str">
        <f>IFERROR(VLOOKUP(C249,data!$A:$J,10,FALSE()),"")</f>
        <v/>
      </c>
      <c r="I249" s="3" t="str">
        <f>IFERROR(VLOOKUP(D249,data!$A:$J,10,FALSE()),"")</f>
        <v/>
      </c>
      <c r="J249" s="3" t="str">
        <f>IFERROR(VLOOKUP(E249,data!$A:$J,10,FALSE()),"")</f>
        <v/>
      </c>
      <c r="K249" s="3" t="str">
        <f>IFERROR(VLOOKUP(F249,data!$A:$J,10,FALSE()),"")</f>
        <v/>
      </c>
      <c r="L249" s="3" t="str">
        <f t="shared" si="5"/>
        <v>E53_G204</v>
      </c>
    </row>
    <row r="250" ht="15.75" customHeight="1">
      <c r="A250" s="1" t="s">
        <v>435</v>
      </c>
      <c r="B250" s="2" t="s">
        <v>436</v>
      </c>
      <c r="G250" s="3" t="str">
        <f>IFERROR(VLOOKUP(B250,data!$A:$J,10,FALSE()),"")</f>
        <v>E53_G198</v>
      </c>
      <c r="H250" s="3" t="str">
        <f>IFERROR(VLOOKUP(C250,data!$A:$J,10,FALSE()),"")</f>
        <v/>
      </c>
      <c r="I250" s="3" t="str">
        <f>IFERROR(VLOOKUP(D250,data!$A:$J,10,FALSE()),"")</f>
        <v/>
      </c>
      <c r="J250" s="3" t="str">
        <f>IFERROR(VLOOKUP(E250,data!$A:$J,10,FALSE()),"")</f>
        <v/>
      </c>
      <c r="K250" s="3" t="str">
        <f>IFERROR(VLOOKUP(F250,data!$A:$J,10,FALSE()),"")</f>
        <v/>
      </c>
      <c r="L250" s="3" t="str">
        <f t="shared" si="5"/>
        <v>E53_G198</v>
      </c>
    </row>
    <row r="251" ht="15.75" customHeight="1">
      <c r="A251" s="1" t="s">
        <v>437</v>
      </c>
      <c r="B251" s="2" t="s">
        <v>55</v>
      </c>
      <c r="G251" s="3" t="str">
        <f>IFERROR(VLOOKUP(B251,data!$A:$J,10,FALSE()),"")</f>
        <v>E53_G126</v>
      </c>
      <c r="H251" s="3" t="str">
        <f>IFERROR(VLOOKUP(C251,data!$A:$J,10,FALSE()),"")</f>
        <v/>
      </c>
      <c r="I251" s="3" t="str">
        <f>IFERROR(VLOOKUP(D251,data!$A:$J,10,FALSE()),"")</f>
        <v/>
      </c>
      <c r="J251" s="3" t="str">
        <f>IFERROR(VLOOKUP(E251,data!$A:$J,10,FALSE()),"")</f>
        <v/>
      </c>
      <c r="K251" s="3" t="str">
        <f>IFERROR(VLOOKUP(F251,data!$A:$J,10,FALSE()),"")</f>
        <v/>
      </c>
      <c r="L251" s="3" t="str">
        <f t="shared" si="5"/>
        <v>E53_G126</v>
      </c>
    </row>
    <row r="252" ht="15.75" customHeight="1">
      <c r="A252" s="1" t="s">
        <v>438</v>
      </c>
      <c r="B252" s="2" t="s">
        <v>4</v>
      </c>
      <c r="G252" s="3" t="str">
        <f>IFERROR(VLOOKUP(B252,data!$A:$J,10,FALSE()),"")</f>
        <v>E53_G96</v>
      </c>
      <c r="H252" s="3" t="str">
        <f>IFERROR(VLOOKUP(C252,data!$A:$J,10,FALSE()),"")</f>
        <v/>
      </c>
      <c r="I252" s="3" t="str">
        <f>IFERROR(VLOOKUP(D252,data!$A:$J,10,FALSE()),"")</f>
        <v/>
      </c>
      <c r="J252" s="3" t="str">
        <f>IFERROR(VLOOKUP(E252,data!$A:$J,10,FALSE()),"")</f>
        <v/>
      </c>
      <c r="K252" s="3" t="str">
        <f>IFERROR(VLOOKUP(F252,data!$A:$J,10,FALSE()),"")</f>
        <v/>
      </c>
      <c r="L252" s="3" t="str">
        <f t="shared" si="5"/>
        <v>E53_G96</v>
      </c>
    </row>
    <row r="253" ht="15.75" customHeight="1">
      <c r="A253" s="1" t="s">
        <v>439</v>
      </c>
      <c r="B253" s="2" t="s">
        <v>162</v>
      </c>
      <c r="G253" s="3" t="str">
        <f>IFERROR(VLOOKUP(B253,data!$A:$J,10,FALSE()),"")</f>
        <v>E53_G78</v>
      </c>
      <c r="H253" s="3" t="str">
        <f>IFERROR(VLOOKUP(C253,data!$A:$J,10,FALSE()),"")</f>
        <v/>
      </c>
      <c r="I253" s="3" t="str">
        <f>IFERROR(VLOOKUP(D253,data!$A:$J,10,FALSE()),"")</f>
        <v/>
      </c>
      <c r="J253" s="3" t="str">
        <f>IFERROR(VLOOKUP(E253,data!$A:$J,10,FALSE()),"")</f>
        <v/>
      </c>
      <c r="K253" s="3" t="str">
        <f>IFERROR(VLOOKUP(F253,data!$A:$J,10,FALSE()),"")</f>
        <v/>
      </c>
      <c r="L253" s="3" t="str">
        <f t="shared" si="5"/>
        <v>E53_G78</v>
      </c>
    </row>
    <row r="254" ht="15.75" customHeight="1">
      <c r="A254" s="1" t="s">
        <v>440</v>
      </c>
      <c r="B254" s="2" t="s">
        <v>441</v>
      </c>
      <c r="G254" s="3" t="str">
        <f>IFERROR(VLOOKUP(B254,data!$A:$J,10,FALSE()),"")</f>
        <v>E53_G44</v>
      </c>
      <c r="H254" s="3" t="str">
        <f>IFERROR(VLOOKUP(C254,data!$A:$J,10,FALSE()),"")</f>
        <v/>
      </c>
      <c r="I254" s="3" t="str">
        <f>IFERROR(VLOOKUP(D254,data!$A:$J,10,FALSE()),"")</f>
        <v/>
      </c>
      <c r="J254" s="3" t="str">
        <f>IFERROR(VLOOKUP(E254,data!$A:$J,10,FALSE()),"")</f>
        <v/>
      </c>
      <c r="K254" s="3" t="str">
        <f>IFERROR(VLOOKUP(F254,data!$A:$J,10,FALSE()),"")</f>
        <v/>
      </c>
      <c r="L254" s="3" t="str">
        <f t="shared" si="5"/>
        <v>E53_G44</v>
      </c>
    </row>
    <row r="255" ht="15.75" customHeight="1">
      <c r="A255" s="1" t="s">
        <v>442</v>
      </c>
      <c r="B255" s="2" t="s">
        <v>443</v>
      </c>
      <c r="G255" s="3" t="str">
        <f>IFERROR(VLOOKUP(B255,data!$A:$J,10,FALSE()),"")</f>
        <v>E53_G38</v>
      </c>
      <c r="H255" s="3" t="str">
        <f>IFERROR(VLOOKUP(C255,data!$A:$J,10,FALSE()),"")</f>
        <v/>
      </c>
      <c r="I255" s="3" t="str">
        <f>IFERROR(VLOOKUP(D255,data!$A:$J,10,FALSE()),"")</f>
        <v/>
      </c>
      <c r="J255" s="3" t="str">
        <f>IFERROR(VLOOKUP(E255,data!$A:$J,10,FALSE()),"")</f>
        <v/>
      </c>
      <c r="K255" s="3" t="str">
        <f>IFERROR(VLOOKUP(F255,data!$A:$J,10,FALSE()),"")</f>
        <v/>
      </c>
      <c r="L255" s="3" t="str">
        <f t="shared" si="5"/>
        <v>E53_G38</v>
      </c>
    </row>
    <row r="256" ht="15.75" customHeight="1">
      <c r="A256" s="1" t="s">
        <v>444</v>
      </c>
      <c r="B256" s="2" t="s">
        <v>445</v>
      </c>
      <c r="G256" s="3" t="str">
        <f>IFERROR(VLOOKUP(B256,data!$A:$J,10,FALSE()),"")</f>
        <v>E53_G171</v>
      </c>
      <c r="H256" s="3" t="str">
        <f>IFERROR(VLOOKUP(C256,data!$A:$J,10,FALSE()),"")</f>
        <v/>
      </c>
      <c r="I256" s="3" t="str">
        <f>IFERROR(VLOOKUP(D256,data!$A:$J,10,FALSE()),"")</f>
        <v/>
      </c>
      <c r="J256" s="3" t="str">
        <f>IFERROR(VLOOKUP(E256,data!$A:$J,10,FALSE()),"")</f>
        <v/>
      </c>
      <c r="K256" s="3" t="str">
        <f>IFERROR(VLOOKUP(F256,data!$A:$J,10,FALSE()),"")</f>
        <v/>
      </c>
      <c r="L256" s="3" t="str">
        <f t="shared" si="5"/>
        <v>E53_G171</v>
      </c>
    </row>
    <row r="257" ht="15.75" customHeight="1">
      <c r="A257" s="1" t="s">
        <v>446</v>
      </c>
      <c r="B257" s="2" t="s">
        <v>211</v>
      </c>
      <c r="G257" s="3" t="str">
        <f>IFERROR(VLOOKUP(B257,data!$A:$J,10,FALSE()),"")</f>
        <v>E53_G129</v>
      </c>
      <c r="H257" s="3" t="str">
        <f>IFERROR(VLOOKUP(C257,data!$A:$J,10,FALSE()),"")</f>
        <v/>
      </c>
      <c r="I257" s="3" t="str">
        <f>IFERROR(VLOOKUP(D257,data!$A:$J,10,FALSE()),"")</f>
        <v/>
      </c>
      <c r="J257" s="3" t="str">
        <f>IFERROR(VLOOKUP(E257,data!$A:$J,10,FALSE()),"")</f>
        <v/>
      </c>
      <c r="K257" s="3" t="str">
        <f>IFERROR(VLOOKUP(F257,data!$A:$J,10,FALSE()),"")</f>
        <v/>
      </c>
      <c r="L257" s="3" t="str">
        <f t="shared" si="5"/>
        <v>E53_G129</v>
      </c>
    </row>
    <row r="258" ht="15.75" customHeight="1">
      <c r="A258" s="1" t="s">
        <v>447</v>
      </c>
      <c r="B258" s="2" t="s">
        <v>105</v>
      </c>
      <c r="G258" s="3" t="str">
        <f>IFERROR(VLOOKUP(B258,data!$A:$J,10,FALSE()),"")</f>
        <v>E53_G100</v>
      </c>
      <c r="H258" s="3" t="str">
        <f>IFERROR(VLOOKUP(C258,data!$A:$J,10,FALSE()),"")</f>
        <v/>
      </c>
      <c r="I258" s="3" t="str">
        <f>IFERROR(VLOOKUP(D258,data!$A:$J,10,FALSE()),"")</f>
        <v/>
      </c>
      <c r="J258" s="3" t="str">
        <f>IFERROR(VLOOKUP(E258,data!$A:$J,10,FALSE()),"")</f>
        <v/>
      </c>
      <c r="K258" s="3" t="str">
        <f>IFERROR(VLOOKUP(F258,data!$A:$J,10,FALSE()),"")</f>
        <v/>
      </c>
      <c r="L258" s="3" t="str">
        <f t="shared" si="5"/>
        <v>E53_G100</v>
      </c>
    </row>
    <row r="259" ht="15.75" customHeight="1">
      <c r="A259" s="1" t="s">
        <v>448</v>
      </c>
      <c r="B259" s="2" t="s">
        <v>449</v>
      </c>
      <c r="G259" s="3" t="str">
        <f>IFERROR(VLOOKUP(B259,data!$A:$J,10,FALSE()),"")</f>
        <v>E53_G24</v>
      </c>
      <c r="H259" s="3" t="str">
        <f>IFERROR(VLOOKUP(C259,data!$A:$J,10,FALSE()),"")</f>
        <v/>
      </c>
      <c r="I259" s="3" t="str">
        <f>IFERROR(VLOOKUP(D259,data!$A:$J,10,FALSE()),"")</f>
        <v/>
      </c>
      <c r="J259" s="3" t="str">
        <f>IFERROR(VLOOKUP(E259,data!$A:$J,10,FALSE()),"")</f>
        <v/>
      </c>
      <c r="K259" s="3" t="str">
        <f>IFERROR(VLOOKUP(F259,data!$A:$J,10,FALSE()),"")</f>
        <v/>
      </c>
      <c r="L259" s="3" t="str">
        <f t="shared" si="5"/>
        <v>E53_G24</v>
      </c>
    </row>
    <row r="260" ht="15.75" customHeight="1">
      <c r="A260" s="1" t="s">
        <v>450</v>
      </c>
      <c r="B260" s="2" t="s">
        <v>451</v>
      </c>
      <c r="G260" s="3" t="str">
        <f>IFERROR(VLOOKUP(B260,data!$A:$J,10,FALSE()),"")</f>
        <v>E53_G74</v>
      </c>
      <c r="H260" s="3" t="str">
        <f>IFERROR(VLOOKUP(C260,data!$A:$J,10,FALSE()),"")</f>
        <v/>
      </c>
      <c r="I260" s="3" t="str">
        <f>IFERROR(VLOOKUP(D260,data!$A:$J,10,FALSE()),"")</f>
        <v/>
      </c>
      <c r="J260" s="3" t="str">
        <f>IFERROR(VLOOKUP(E260,data!$A:$J,10,FALSE()),"")</f>
        <v/>
      </c>
      <c r="K260" s="3" t="str">
        <f>IFERROR(VLOOKUP(F260,data!$A:$J,10,FALSE()),"")</f>
        <v/>
      </c>
      <c r="L260" s="3" t="str">
        <f t="shared" si="5"/>
        <v>E53_G74</v>
      </c>
    </row>
    <row r="261" ht="15.75" customHeight="1">
      <c r="A261" s="1" t="s">
        <v>452</v>
      </c>
      <c r="B261" s="2" t="s">
        <v>453</v>
      </c>
      <c r="G261" s="3" t="str">
        <f>IFERROR(VLOOKUP(B261,data!$A:$J,10,FALSE()),"")</f>
        <v>E53_G174</v>
      </c>
      <c r="H261" s="3" t="str">
        <f>IFERROR(VLOOKUP(C261,data!$A:$J,10,FALSE()),"")</f>
        <v/>
      </c>
      <c r="I261" s="3" t="str">
        <f>IFERROR(VLOOKUP(D261,data!$A:$J,10,FALSE()),"")</f>
        <v/>
      </c>
      <c r="J261" s="3" t="str">
        <f>IFERROR(VLOOKUP(E261,data!$A:$J,10,FALSE()),"")</f>
        <v/>
      </c>
      <c r="K261" s="3" t="str">
        <f>IFERROR(VLOOKUP(F261,data!$A:$J,10,FALSE()),"")</f>
        <v/>
      </c>
      <c r="L261" s="3" t="str">
        <f t="shared" si="5"/>
        <v>E53_G174</v>
      </c>
    </row>
    <row r="262" ht="15.75" customHeight="1">
      <c r="A262" s="1" t="s">
        <v>454</v>
      </c>
      <c r="B262" s="2" t="s">
        <v>455</v>
      </c>
      <c r="G262" s="3" t="str">
        <f>IFERROR(VLOOKUP(B262,data!$A:$J,10,FALSE()),"")</f>
        <v>E53_G66</v>
      </c>
      <c r="H262" s="3" t="str">
        <f>IFERROR(VLOOKUP(C262,data!$A:$J,10,FALSE()),"")</f>
        <v/>
      </c>
      <c r="I262" s="3" t="str">
        <f>IFERROR(VLOOKUP(D262,data!$A:$J,10,FALSE()),"")</f>
        <v/>
      </c>
      <c r="J262" s="3" t="str">
        <f>IFERROR(VLOOKUP(E262,data!$A:$J,10,FALSE()),"")</f>
        <v/>
      </c>
      <c r="K262" s="3" t="str">
        <f>IFERROR(VLOOKUP(F262,data!$A:$J,10,FALSE()),"")</f>
        <v/>
      </c>
      <c r="L262" s="3" t="str">
        <f t="shared" si="5"/>
        <v>E53_G66</v>
      </c>
    </row>
    <row r="263" ht="15.75" customHeight="1">
      <c r="A263" s="1" t="s">
        <v>456</v>
      </c>
      <c r="B263" s="2" t="s">
        <v>457</v>
      </c>
      <c r="G263" s="3" t="str">
        <f>IFERROR(VLOOKUP(B263,data!$A:$J,10,FALSE()),"")</f>
        <v>E53_G39</v>
      </c>
      <c r="H263" s="3" t="str">
        <f>IFERROR(VLOOKUP(C263,data!$A:$J,10,FALSE()),"")</f>
        <v/>
      </c>
      <c r="I263" s="3" t="str">
        <f>IFERROR(VLOOKUP(D263,data!$A:$J,10,FALSE()),"")</f>
        <v/>
      </c>
      <c r="J263" s="3" t="str">
        <f>IFERROR(VLOOKUP(E263,data!$A:$J,10,FALSE()),"")</f>
        <v/>
      </c>
      <c r="K263" s="3" t="str">
        <f>IFERROR(VLOOKUP(F263,data!$A:$J,10,FALSE()),"")</f>
        <v/>
      </c>
      <c r="L263" s="3" t="str">
        <f t="shared" si="5"/>
        <v>E53_G39</v>
      </c>
    </row>
    <row r="264" ht="15.75" customHeight="1">
      <c r="A264" s="1" t="s">
        <v>458</v>
      </c>
      <c r="B264" s="2" t="s">
        <v>459</v>
      </c>
      <c r="G264" s="3" t="str">
        <f>IFERROR(VLOOKUP(B264,data!$A:$J,10,FALSE()),"")</f>
        <v>E53_G168</v>
      </c>
      <c r="H264" s="3" t="str">
        <f>IFERROR(VLOOKUP(C264,data!$A:$J,10,FALSE()),"")</f>
        <v/>
      </c>
      <c r="I264" s="3" t="str">
        <f>IFERROR(VLOOKUP(D264,data!$A:$J,10,FALSE()),"")</f>
        <v/>
      </c>
      <c r="J264" s="3" t="str">
        <f>IFERROR(VLOOKUP(E264,data!$A:$J,10,FALSE()),"")</f>
        <v/>
      </c>
      <c r="K264" s="3" t="str">
        <f>IFERROR(VLOOKUP(F264,data!$A:$J,10,FALSE()),"")</f>
        <v/>
      </c>
      <c r="L264" s="3" t="str">
        <f t="shared" si="5"/>
        <v>E53_G168</v>
      </c>
    </row>
    <row r="265" ht="15.75" customHeight="1">
      <c r="A265" s="1" t="s">
        <v>460</v>
      </c>
      <c r="B265" s="2" t="s">
        <v>461</v>
      </c>
      <c r="G265" s="3" t="str">
        <f>IFERROR(VLOOKUP(B265,data!$A:$J,10,FALSE()),"")</f>
        <v>E53_G97</v>
      </c>
      <c r="H265" s="3" t="str">
        <f>IFERROR(VLOOKUP(C265,data!$A:$J,10,FALSE()),"")</f>
        <v/>
      </c>
      <c r="I265" s="3" t="str">
        <f>IFERROR(VLOOKUP(D265,data!$A:$J,10,FALSE()),"")</f>
        <v/>
      </c>
      <c r="J265" s="3" t="str">
        <f>IFERROR(VLOOKUP(E265,data!$A:$J,10,FALSE()),"")</f>
        <v/>
      </c>
      <c r="K265" s="3" t="str">
        <f>IFERROR(VLOOKUP(F265,data!$A:$J,10,FALSE()),"")</f>
        <v/>
      </c>
      <c r="L265" s="3" t="str">
        <f t="shared" si="5"/>
        <v>E53_G97</v>
      </c>
    </row>
    <row r="266" ht="15.75" customHeight="1">
      <c r="A266" s="1" t="s">
        <v>462</v>
      </c>
      <c r="B266" s="2" t="s">
        <v>463</v>
      </c>
      <c r="G266" s="3" t="str">
        <f>IFERROR(VLOOKUP(B266,data!$A:$J,10,FALSE()),"")</f>
        <v>E53_G55</v>
      </c>
      <c r="H266" s="3" t="str">
        <f>IFERROR(VLOOKUP(C266,data!$A:$J,10,FALSE()),"")</f>
        <v/>
      </c>
      <c r="I266" s="3" t="str">
        <f>IFERROR(VLOOKUP(D266,data!$A:$J,10,FALSE()),"")</f>
        <v/>
      </c>
      <c r="J266" s="3" t="str">
        <f>IFERROR(VLOOKUP(E266,data!$A:$J,10,FALSE()),"")</f>
        <v/>
      </c>
      <c r="K266" s="3" t="str">
        <f>IFERROR(VLOOKUP(F266,data!$A:$J,10,FALSE()),"")</f>
        <v/>
      </c>
      <c r="L266" s="3" t="str">
        <f t="shared" si="5"/>
        <v>E53_G55</v>
      </c>
    </row>
    <row r="267" ht="15.75" customHeight="1">
      <c r="A267" s="1" t="s">
        <v>464</v>
      </c>
      <c r="B267" s="2" t="s">
        <v>465</v>
      </c>
      <c r="G267" s="3" t="str">
        <f>IFERROR(VLOOKUP(B267,data!$A:$J,10,FALSE()),"")</f>
        <v>E53_G89</v>
      </c>
      <c r="H267" s="3" t="str">
        <f>IFERROR(VLOOKUP(C267,data!$A:$J,10,FALSE()),"")</f>
        <v/>
      </c>
      <c r="I267" s="3" t="str">
        <f>IFERROR(VLOOKUP(D267,data!$A:$J,10,FALSE()),"")</f>
        <v/>
      </c>
      <c r="J267" s="3" t="str">
        <f>IFERROR(VLOOKUP(E267,data!$A:$J,10,FALSE()),"")</f>
        <v/>
      </c>
      <c r="K267" s="3" t="str">
        <f>IFERROR(VLOOKUP(F267,data!$A:$J,10,FALSE()),"")</f>
        <v/>
      </c>
      <c r="L267" s="3" t="str">
        <f t="shared" si="5"/>
        <v>E53_G89</v>
      </c>
    </row>
    <row r="268" ht="15.75" customHeight="1">
      <c r="A268" s="1" t="s">
        <v>466</v>
      </c>
      <c r="B268" s="2" t="s">
        <v>467</v>
      </c>
      <c r="G268" s="3" t="str">
        <f>IFERROR(VLOOKUP(B268,data!$A:$J,10,FALSE()),"")</f>
        <v>E53_G4</v>
      </c>
      <c r="H268" s="3" t="str">
        <f>IFERROR(VLOOKUP(C268,data!$A:$J,10,FALSE()),"")</f>
        <v/>
      </c>
      <c r="I268" s="3" t="str">
        <f>IFERROR(VLOOKUP(D268,data!$A:$J,10,FALSE()),"")</f>
        <v/>
      </c>
      <c r="J268" s="3" t="str">
        <f>IFERROR(VLOOKUP(E268,data!$A:$J,10,FALSE()),"")</f>
        <v/>
      </c>
      <c r="K268" s="3" t="str">
        <f>IFERROR(VLOOKUP(F268,data!$A:$J,10,FALSE()),"")</f>
        <v/>
      </c>
      <c r="L268" s="3" t="str">
        <f t="shared" si="5"/>
        <v>E53_G4</v>
      </c>
    </row>
    <row r="269" ht="15.75" customHeight="1">
      <c r="A269" s="1" t="s">
        <v>468</v>
      </c>
      <c r="B269" s="2" t="s">
        <v>469</v>
      </c>
      <c r="G269" s="3" t="str">
        <f>IFERROR(VLOOKUP(B269,data!$A:$J,10,FALSE()),"")</f>
        <v>E53_G27</v>
      </c>
      <c r="H269" s="3" t="str">
        <f>IFERROR(VLOOKUP(C269,data!$A:$J,10,FALSE()),"")</f>
        <v/>
      </c>
      <c r="I269" s="3" t="str">
        <f>IFERROR(VLOOKUP(D269,data!$A:$J,10,FALSE()),"")</f>
        <v/>
      </c>
      <c r="J269" s="3" t="str">
        <f>IFERROR(VLOOKUP(E269,data!$A:$J,10,FALSE()),"")</f>
        <v/>
      </c>
      <c r="K269" s="3" t="str">
        <f>IFERROR(VLOOKUP(F269,data!$A:$J,10,FALSE()),"")</f>
        <v/>
      </c>
      <c r="L269" s="3" t="str">
        <f t="shared" si="5"/>
        <v>E53_G27</v>
      </c>
    </row>
    <row r="270" ht="15.75" customHeight="1">
      <c r="A270" s="1" t="s">
        <v>470</v>
      </c>
      <c r="B270" s="2" t="s">
        <v>87</v>
      </c>
      <c r="G270" s="3" t="str">
        <f>IFERROR(VLOOKUP(B270,data!$A:$J,10,FALSE()),"")</f>
        <v>E53_G214</v>
      </c>
      <c r="H270" s="3" t="str">
        <f>IFERROR(VLOOKUP(C270,data!$A:$J,10,FALSE()),"")</f>
        <v/>
      </c>
      <c r="I270" s="3" t="str">
        <f>IFERROR(VLOOKUP(D270,data!$A:$J,10,FALSE()),"")</f>
        <v/>
      </c>
      <c r="J270" s="3" t="str">
        <f>IFERROR(VLOOKUP(E270,data!$A:$J,10,FALSE()),"")</f>
        <v/>
      </c>
      <c r="K270" s="3" t="str">
        <f>IFERROR(VLOOKUP(F270,data!$A:$J,10,FALSE()),"")</f>
        <v/>
      </c>
      <c r="L270" s="3" t="str">
        <f t="shared" si="5"/>
        <v>E53_G214</v>
      </c>
    </row>
    <row r="271" ht="15.75" customHeight="1">
      <c r="A271" s="1" t="s">
        <v>471</v>
      </c>
      <c r="B271" s="2" t="s">
        <v>472</v>
      </c>
      <c r="G271" s="3" t="str">
        <f>IFERROR(VLOOKUP(B271,data!$A:$J,10,FALSE()),"")</f>
        <v>E53_G124</v>
      </c>
      <c r="H271" s="3" t="str">
        <f>IFERROR(VLOOKUP(C271,data!$A:$J,10,FALSE()),"")</f>
        <v/>
      </c>
      <c r="I271" s="3" t="str">
        <f>IFERROR(VLOOKUP(D271,data!$A:$J,10,FALSE()),"")</f>
        <v/>
      </c>
      <c r="J271" s="3" t="str">
        <f>IFERROR(VLOOKUP(E271,data!$A:$J,10,FALSE()),"")</f>
        <v/>
      </c>
      <c r="K271" s="3" t="str">
        <f>IFERROR(VLOOKUP(F271,data!$A:$J,10,FALSE()),"")</f>
        <v/>
      </c>
      <c r="L271" s="3" t="str">
        <f t="shared" si="5"/>
        <v>E53_G124</v>
      </c>
    </row>
    <row r="272" ht="15.75" customHeight="1">
      <c r="A272" s="1" t="s">
        <v>473</v>
      </c>
      <c r="B272" s="2" t="s">
        <v>107</v>
      </c>
      <c r="G272" s="3" t="str">
        <f>IFERROR(VLOOKUP(B272,data!$A:$J,10,FALSE()),"")</f>
        <v>E53_G193</v>
      </c>
      <c r="H272" s="3" t="str">
        <f>IFERROR(VLOOKUP(C272,data!$A:$J,10,FALSE()),"")</f>
        <v/>
      </c>
      <c r="I272" s="3" t="str">
        <f>IFERROR(VLOOKUP(D272,data!$A:$J,10,FALSE()),"")</f>
        <v/>
      </c>
      <c r="J272" s="3" t="str">
        <f>IFERROR(VLOOKUP(E272,data!$A:$J,10,FALSE()),"")</f>
        <v/>
      </c>
      <c r="K272" s="3" t="str">
        <f>IFERROR(VLOOKUP(F272,data!$A:$J,10,FALSE()),"")</f>
        <v/>
      </c>
      <c r="L272" s="3" t="str">
        <f t="shared" si="5"/>
        <v>E53_G193</v>
      </c>
    </row>
    <row r="273" ht="15.75" customHeight="1">
      <c r="A273" s="1" t="s">
        <v>474</v>
      </c>
      <c r="B273" s="2" t="s">
        <v>475</v>
      </c>
      <c r="G273" s="3" t="str">
        <f>IFERROR(VLOOKUP(B273,data!$A:$J,10,FALSE()),"")</f>
        <v>E53_G176</v>
      </c>
      <c r="H273" s="3" t="str">
        <f>IFERROR(VLOOKUP(C273,data!$A:$J,10,FALSE()),"")</f>
        <v/>
      </c>
      <c r="I273" s="3" t="str">
        <f>IFERROR(VLOOKUP(D273,data!$A:$J,10,FALSE()),"")</f>
        <v/>
      </c>
      <c r="J273" s="3" t="str">
        <f>IFERROR(VLOOKUP(E273,data!$A:$J,10,FALSE()),"")</f>
        <v/>
      </c>
      <c r="K273" s="3" t="str">
        <f>IFERROR(VLOOKUP(F273,data!$A:$J,10,FALSE()),"")</f>
        <v/>
      </c>
      <c r="L273" s="3" t="str">
        <f t="shared" si="5"/>
        <v>E53_G176</v>
      </c>
    </row>
    <row r="274" ht="15.75" customHeight="1">
      <c r="A274" s="1" t="s">
        <v>476</v>
      </c>
      <c r="B274" s="2" t="s">
        <v>477</v>
      </c>
      <c r="G274" s="3" t="str">
        <f>IFERROR(VLOOKUP(B274,data!$A:$J,10,FALSE()),"")</f>
        <v>E53_G217</v>
      </c>
      <c r="H274" s="3" t="str">
        <f>IFERROR(VLOOKUP(C274,data!$A:$J,10,FALSE()),"")</f>
        <v/>
      </c>
      <c r="I274" s="3" t="str">
        <f>IFERROR(VLOOKUP(D274,data!$A:$J,10,FALSE()),"")</f>
        <v/>
      </c>
      <c r="J274" s="3" t="str">
        <f>IFERROR(VLOOKUP(E274,data!$A:$J,10,FALSE()),"")</f>
        <v/>
      </c>
      <c r="K274" s="3" t="str">
        <f>IFERROR(VLOOKUP(F274,data!$A:$J,10,FALSE()),"")</f>
        <v/>
      </c>
      <c r="L274" s="3" t="str">
        <f t="shared" si="5"/>
        <v>E53_G217</v>
      </c>
    </row>
    <row r="275" ht="15.75" customHeight="1">
      <c r="A275" s="1" t="s">
        <v>478</v>
      </c>
      <c r="B275" s="2" t="s">
        <v>479</v>
      </c>
      <c r="G275" s="3" t="str">
        <f>IFERROR(VLOOKUP(B275,data!$A:$J,10,FALSE()),"")</f>
        <v>E53_G151</v>
      </c>
      <c r="H275" s="3" t="str">
        <f>IFERROR(VLOOKUP(C275,data!$A:$J,10,FALSE()),"")</f>
        <v/>
      </c>
      <c r="I275" s="3" t="str">
        <f>IFERROR(VLOOKUP(D275,data!$A:$J,10,FALSE()),"")</f>
        <v/>
      </c>
      <c r="J275" s="3" t="str">
        <f>IFERROR(VLOOKUP(E275,data!$A:$J,10,FALSE()),"")</f>
        <v/>
      </c>
      <c r="K275" s="3" t="str">
        <f>IFERROR(VLOOKUP(F275,data!$A:$J,10,FALSE()),"")</f>
        <v/>
      </c>
      <c r="L275" s="3" t="str">
        <f t="shared" si="5"/>
        <v>E53_G151</v>
      </c>
    </row>
    <row r="276" ht="15.75" customHeight="1">
      <c r="A276" s="1" t="s">
        <v>480</v>
      </c>
      <c r="B276" s="2" t="s">
        <v>55</v>
      </c>
      <c r="G276" s="3" t="str">
        <f>IFERROR(VLOOKUP(B276,data!$A:$J,10,FALSE()),"")</f>
        <v>E53_G126</v>
      </c>
      <c r="H276" s="3" t="str">
        <f>IFERROR(VLOOKUP(C276,data!$A:$J,10,FALSE()),"")</f>
        <v/>
      </c>
      <c r="I276" s="3" t="str">
        <f>IFERROR(VLOOKUP(D276,data!$A:$J,10,FALSE()),"")</f>
        <v/>
      </c>
      <c r="J276" s="3" t="str">
        <f>IFERROR(VLOOKUP(E276,data!$A:$J,10,FALSE()),"")</f>
        <v/>
      </c>
      <c r="K276" s="3" t="str">
        <f>IFERROR(VLOOKUP(F276,data!$A:$J,10,FALSE()),"")</f>
        <v/>
      </c>
      <c r="L276" s="3" t="str">
        <f t="shared" si="5"/>
        <v>E53_G126</v>
      </c>
    </row>
    <row r="277" ht="15.75" customHeight="1">
      <c r="A277" s="1" t="s">
        <v>481</v>
      </c>
      <c r="B277" s="2" t="s">
        <v>11</v>
      </c>
      <c r="G277" s="3" t="str">
        <f>IFERROR(VLOOKUP(B277,data!$A:$J,10,FALSE()),"")</f>
        <v>E53_G218</v>
      </c>
      <c r="H277" s="3" t="str">
        <f>IFERROR(VLOOKUP(C277,data!$A:$J,10,FALSE()),"")</f>
        <v/>
      </c>
      <c r="I277" s="3" t="str">
        <f>IFERROR(VLOOKUP(D277,data!$A:$J,10,FALSE()),"")</f>
        <v/>
      </c>
      <c r="J277" s="3" t="str">
        <f>IFERROR(VLOOKUP(E277,data!$A:$J,10,FALSE()),"")</f>
        <v/>
      </c>
      <c r="K277" s="3" t="str">
        <f>IFERROR(VLOOKUP(F277,data!$A:$J,10,FALSE()),"")</f>
        <v/>
      </c>
      <c r="L277" s="3" t="str">
        <f t="shared" si="5"/>
        <v>E53_G218</v>
      </c>
    </row>
    <row r="278" ht="15.75" customHeight="1">
      <c r="A278" s="1" t="s">
        <v>482</v>
      </c>
      <c r="B278" s="2" t="s">
        <v>257</v>
      </c>
      <c r="G278" s="3" t="str">
        <f>IFERROR(VLOOKUP(B278,data!$A:$J,10,FALSE()),"")</f>
        <v>E53_G197</v>
      </c>
      <c r="H278" s="3" t="str">
        <f>IFERROR(VLOOKUP(C278,data!$A:$J,10,FALSE()),"")</f>
        <v/>
      </c>
      <c r="I278" s="3" t="str">
        <f>IFERROR(VLOOKUP(D278,data!$A:$J,10,FALSE()),"")</f>
        <v/>
      </c>
      <c r="J278" s="3" t="str">
        <f>IFERROR(VLOOKUP(E278,data!$A:$J,10,FALSE()),"")</f>
        <v/>
      </c>
      <c r="K278" s="3" t="str">
        <f>IFERROR(VLOOKUP(F278,data!$A:$J,10,FALSE()),"")</f>
        <v/>
      </c>
      <c r="L278" s="3" t="str">
        <f t="shared" si="5"/>
        <v>E53_G197</v>
      </c>
    </row>
    <row r="279" ht="15.75" customHeight="1">
      <c r="A279" s="1" t="s">
        <v>483</v>
      </c>
      <c r="B279" s="2" t="s">
        <v>484</v>
      </c>
      <c r="G279" s="3" t="str">
        <f>IFERROR(VLOOKUP(B279,data!$A:$J,10,FALSE()),"")</f>
        <v>E53_G138</v>
      </c>
      <c r="H279" s="3" t="str">
        <f>IFERROR(VLOOKUP(C279,data!$A:$J,10,FALSE()),"")</f>
        <v/>
      </c>
      <c r="I279" s="3" t="str">
        <f>IFERROR(VLOOKUP(D279,data!$A:$J,10,FALSE()),"")</f>
        <v/>
      </c>
      <c r="J279" s="3" t="str">
        <f>IFERROR(VLOOKUP(E279,data!$A:$J,10,FALSE()),"")</f>
        <v/>
      </c>
      <c r="K279" s="3" t="str">
        <f>IFERROR(VLOOKUP(F279,data!$A:$J,10,FALSE()),"")</f>
        <v/>
      </c>
      <c r="L279" s="3" t="str">
        <f t="shared" si="5"/>
        <v>E53_G138</v>
      </c>
    </row>
    <row r="280" ht="15.75" customHeight="1">
      <c r="A280" s="1" t="s">
        <v>485</v>
      </c>
      <c r="B280" s="2" t="s">
        <v>486</v>
      </c>
      <c r="G280" s="3" t="str">
        <f>IFERROR(VLOOKUP(B280,data!$A:$J,10,FALSE()),"")</f>
        <v>E53_G177</v>
      </c>
      <c r="H280" s="3" t="str">
        <f>IFERROR(VLOOKUP(C280,data!$A:$J,10,FALSE()),"")</f>
        <v/>
      </c>
      <c r="I280" s="3" t="str">
        <f>IFERROR(VLOOKUP(D280,data!$A:$J,10,FALSE()),"")</f>
        <v/>
      </c>
      <c r="J280" s="3" t="str">
        <f>IFERROR(VLOOKUP(E280,data!$A:$J,10,FALSE()),"")</f>
        <v/>
      </c>
      <c r="K280" s="3" t="str">
        <f>IFERROR(VLOOKUP(F280,data!$A:$J,10,FALSE()),"")</f>
        <v/>
      </c>
      <c r="L280" s="3" t="str">
        <f t="shared" si="5"/>
        <v>E53_G177</v>
      </c>
    </row>
    <row r="281" ht="15.75" customHeight="1">
      <c r="A281" s="1" t="s">
        <v>487</v>
      </c>
      <c r="B281" s="2" t="s">
        <v>72</v>
      </c>
      <c r="G281" s="3" t="str">
        <f>IFERROR(VLOOKUP(B281,data!$A:$J,10,FALSE()),"")</f>
        <v>E53_G127</v>
      </c>
      <c r="H281" s="3" t="str">
        <f>IFERROR(VLOOKUP(C281,data!$A:$J,10,FALSE()),"")</f>
        <v/>
      </c>
      <c r="I281" s="3" t="str">
        <f>IFERROR(VLOOKUP(D281,data!$A:$J,10,FALSE()),"")</f>
        <v/>
      </c>
      <c r="J281" s="3" t="str">
        <f>IFERROR(VLOOKUP(E281,data!$A:$J,10,FALSE()),"")</f>
        <v/>
      </c>
      <c r="K281" s="3" t="str">
        <f>IFERROR(VLOOKUP(F281,data!$A:$J,10,FALSE()),"")</f>
        <v/>
      </c>
      <c r="L281" s="3" t="str">
        <f t="shared" si="5"/>
        <v>E53_G127</v>
      </c>
    </row>
    <row r="282" ht="15.75" customHeight="1">
      <c r="A282" s="1" t="s">
        <v>488</v>
      </c>
      <c r="B282" s="2" t="s">
        <v>298</v>
      </c>
      <c r="G282" s="3" t="str">
        <f>IFERROR(VLOOKUP(B282,data!$A:$J,10,FALSE()),"")</f>
        <v>E53_G226</v>
      </c>
      <c r="H282" s="3" t="str">
        <f>IFERROR(VLOOKUP(C282,data!$A:$J,10,FALSE()),"")</f>
        <v/>
      </c>
      <c r="I282" s="3" t="str">
        <f>IFERROR(VLOOKUP(D282,data!$A:$J,10,FALSE()),"")</f>
        <v/>
      </c>
      <c r="J282" s="3" t="str">
        <f>IFERROR(VLOOKUP(E282,data!$A:$J,10,FALSE()),"")</f>
        <v/>
      </c>
      <c r="K282" s="3" t="str">
        <f>IFERROR(VLOOKUP(F282,data!$A:$J,10,FALSE()),"")</f>
        <v/>
      </c>
      <c r="L282" s="3" t="str">
        <f t="shared" si="5"/>
        <v>E53_G226</v>
      </c>
    </row>
    <row r="283" ht="15.75" customHeight="1">
      <c r="A283" s="1" t="s">
        <v>489</v>
      </c>
      <c r="B283" s="2" t="s">
        <v>9</v>
      </c>
      <c r="G283" s="3" t="str">
        <f>IFERROR(VLOOKUP(B283,data!$A:$J,10,FALSE()),"")</f>
        <v>E53_G130</v>
      </c>
      <c r="H283" s="3" t="str">
        <f>IFERROR(VLOOKUP(C283,data!$A:$J,10,FALSE()),"")</f>
        <v/>
      </c>
      <c r="I283" s="3" t="str">
        <f>IFERROR(VLOOKUP(D283,data!$A:$J,10,FALSE()),"")</f>
        <v/>
      </c>
      <c r="J283" s="3" t="str">
        <f>IFERROR(VLOOKUP(E283,data!$A:$J,10,FALSE()),"")</f>
        <v/>
      </c>
      <c r="K283" s="3" t="str">
        <f>IFERROR(VLOOKUP(F283,data!$A:$J,10,FALSE()),"")</f>
        <v/>
      </c>
      <c r="L283" s="3" t="str">
        <f t="shared" si="5"/>
        <v>E53_G130</v>
      </c>
    </row>
    <row r="284" ht="15.75" customHeight="1">
      <c r="A284" s="1" t="s">
        <v>490</v>
      </c>
      <c r="B284" s="2" t="s">
        <v>491</v>
      </c>
      <c r="G284" s="3" t="str">
        <f>IFERROR(VLOOKUP(B284,data!$A:$J,10,FALSE()),"")</f>
        <v>E53_G212</v>
      </c>
      <c r="H284" s="3" t="str">
        <f>IFERROR(VLOOKUP(C284,data!$A:$J,10,FALSE()),"")</f>
        <v/>
      </c>
      <c r="I284" s="3" t="str">
        <f>IFERROR(VLOOKUP(D284,data!$A:$J,10,FALSE()),"")</f>
        <v/>
      </c>
      <c r="J284" s="3" t="str">
        <f>IFERROR(VLOOKUP(E284,data!$A:$J,10,FALSE()),"")</f>
        <v/>
      </c>
      <c r="K284" s="3" t="str">
        <f>IFERROR(VLOOKUP(F284,data!$A:$J,10,FALSE()),"")</f>
        <v/>
      </c>
      <c r="L284" s="3" t="str">
        <f t="shared" si="5"/>
        <v>E53_G212</v>
      </c>
    </row>
    <row r="285" ht="15.75" customHeight="1">
      <c r="A285" s="1" t="s">
        <v>492</v>
      </c>
      <c r="B285" s="2" t="s">
        <v>124</v>
      </c>
      <c r="G285" s="3" t="str">
        <f>IFERROR(VLOOKUP(B285,data!$A:$J,10,FALSE()),"")</f>
        <v>E53_G19</v>
      </c>
      <c r="H285" s="3" t="str">
        <f>IFERROR(VLOOKUP(C285,data!$A:$J,10,FALSE()),"")</f>
        <v/>
      </c>
      <c r="I285" s="3" t="str">
        <f>IFERROR(VLOOKUP(D285,data!$A:$J,10,FALSE()),"")</f>
        <v/>
      </c>
      <c r="J285" s="3" t="str">
        <f>IFERROR(VLOOKUP(E285,data!$A:$J,10,FALSE()),"")</f>
        <v/>
      </c>
      <c r="K285" s="3" t="str">
        <f>IFERROR(VLOOKUP(F285,data!$A:$J,10,FALSE()),"")</f>
        <v/>
      </c>
      <c r="L285" s="3" t="str">
        <f t="shared" si="5"/>
        <v>E53_G19</v>
      </c>
    </row>
    <row r="286" ht="15.75" customHeight="1">
      <c r="A286" s="1" t="s">
        <v>493</v>
      </c>
      <c r="B286" s="2" t="s">
        <v>494</v>
      </c>
      <c r="G286" s="3" t="str">
        <f>IFERROR(VLOOKUP(B286,data!$A:$J,10,FALSE()),"")</f>
        <v>E53_G81</v>
      </c>
      <c r="H286" s="3" t="str">
        <f>IFERROR(VLOOKUP(C286,data!$A:$J,10,FALSE()),"")</f>
        <v/>
      </c>
      <c r="I286" s="3" t="str">
        <f>IFERROR(VLOOKUP(D286,data!$A:$J,10,FALSE()),"")</f>
        <v/>
      </c>
      <c r="J286" s="3" t="str">
        <f>IFERROR(VLOOKUP(E286,data!$A:$J,10,FALSE()),"")</f>
        <v/>
      </c>
      <c r="K286" s="3" t="str">
        <f>IFERROR(VLOOKUP(F286,data!$A:$J,10,FALSE()),"")</f>
        <v/>
      </c>
      <c r="L286" s="3" t="str">
        <f t="shared" si="5"/>
        <v>E53_G81</v>
      </c>
    </row>
    <row r="287" ht="15.75" customHeight="1">
      <c r="A287" s="1" t="s">
        <v>495</v>
      </c>
      <c r="B287" s="2" t="s">
        <v>107</v>
      </c>
      <c r="G287" s="3" t="str">
        <f>IFERROR(VLOOKUP(B287,data!$A:$J,10,FALSE()),"")</f>
        <v>E53_G193</v>
      </c>
      <c r="H287" s="3" t="str">
        <f>IFERROR(VLOOKUP(C287,data!$A:$J,10,FALSE()),"")</f>
        <v/>
      </c>
      <c r="I287" s="3" t="str">
        <f>IFERROR(VLOOKUP(D287,data!$A:$J,10,FALSE()),"")</f>
        <v/>
      </c>
      <c r="J287" s="3" t="str">
        <f>IFERROR(VLOOKUP(E287,data!$A:$J,10,FALSE()),"")</f>
        <v/>
      </c>
      <c r="K287" s="3" t="str">
        <f>IFERROR(VLOOKUP(F287,data!$A:$J,10,FALSE()),"")</f>
        <v/>
      </c>
      <c r="L287" s="3" t="str">
        <f t="shared" si="5"/>
        <v>E53_G193</v>
      </c>
    </row>
    <row r="288" ht="15.75" customHeight="1">
      <c r="A288" s="1" t="s">
        <v>496</v>
      </c>
      <c r="B288" s="2" t="s">
        <v>497</v>
      </c>
      <c r="G288" s="3" t="str">
        <f>IFERROR(VLOOKUP(B288,data!$A:$J,10,FALSE()),"")</f>
        <v>E53_G25</v>
      </c>
      <c r="H288" s="3" t="str">
        <f>IFERROR(VLOOKUP(C288,data!$A:$J,10,FALSE()),"")</f>
        <v/>
      </c>
      <c r="I288" s="3" t="str">
        <f>IFERROR(VLOOKUP(D288,data!$A:$J,10,FALSE()),"")</f>
        <v/>
      </c>
      <c r="J288" s="3" t="str">
        <f>IFERROR(VLOOKUP(E288,data!$A:$J,10,FALSE()),"")</f>
        <v/>
      </c>
      <c r="K288" s="3" t="str">
        <f>IFERROR(VLOOKUP(F288,data!$A:$J,10,FALSE()),"")</f>
        <v/>
      </c>
      <c r="L288" s="3" t="str">
        <f t="shared" si="5"/>
        <v>E53_G25</v>
      </c>
    </row>
    <row r="289" ht="15.75" customHeight="1">
      <c r="A289" s="1" t="s">
        <v>498</v>
      </c>
      <c r="B289" s="2" t="s">
        <v>499</v>
      </c>
      <c r="G289" s="3" t="str">
        <f>IFERROR(VLOOKUP(B289,data!$A:$J,10,FALSE()),"")</f>
        <v>E53_G18</v>
      </c>
      <c r="H289" s="3" t="str">
        <f>IFERROR(VLOOKUP(C289,data!$A:$J,10,FALSE()),"")</f>
        <v/>
      </c>
      <c r="I289" s="3" t="str">
        <f>IFERROR(VLOOKUP(D289,data!$A:$J,10,FALSE()),"")</f>
        <v/>
      </c>
      <c r="J289" s="3" t="str">
        <f>IFERROR(VLOOKUP(E289,data!$A:$J,10,FALSE()),"")</f>
        <v/>
      </c>
      <c r="K289" s="3" t="str">
        <f>IFERROR(VLOOKUP(F289,data!$A:$J,10,FALSE()),"")</f>
        <v/>
      </c>
      <c r="L289" s="3" t="str">
        <f t="shared" si="5"/>
        <v>E53_G18</v>
      </c>
    </row>
    <row r="290" ht="15.75" customHeight="1">
      <c r="A290" s="1" t="s">
        <v>500</v>
      </c>
      <c r="B290" s="2" t="s">
        <v>501</v>
      </c>
      <c r="G290" s="3" t="str">
        <f>IFERROR(VLOOKUP(B290,data!$A:$J,10,FALSE()),"")</f>
        <v>E53_G42</v>
      </c>
      <c r="H290" s="3" t="str">
        <f>IFERROR(VLOOKUP(C290,data!$A:$J,10,FALSE()),"")</f>
        <v/>
      </c>
      <c r="I290" s="3" t="str">
        <f>IFERROR(VLOOKUP(D290,data!$A:$J,10,FALSE()),"")</f>
        <v/>
      </c>
      <c r="J290" s="3" t="str">
        <f>IFERROR(VLOOKUP(E290,data!$A:$J,10,FALSE()),"")</f>
        <v/>
      </c>
      <c r="K290" s="3" t="str">
        <f>IFERROR(VLOOKUP(F290,data!$A:$J,10,FALSE()),"")</f>
        <v/>
      </c>
      <c r="L290" s="3" t="str">
        <f t="shared" si="5"/>
        <v>E53_G42</v>
      </c>
    </row>
    <row r="291" ht="15.75" customHeight="1">
      <c r="A291" s="1" t="s">
        <v>502</v>
      </c>
      <c r="B291" s="2" t="s">
        <v>503</v>
      </c>
      <c r="G291" s="3" t="str">
        <f>IFERROR(VLOOKUP(B291,data!$A:$J,10,FALSE()),"")</f>
        <v>E53_G80</v>
      </c>
      <c r="H291" s="3" t="str">
        <f>IFERROR(VLOOKUP(C291,data!$A:$J,10,FALSE()),"")</f>
        <v/>
      </c>
      <c r="I291" s="3" t="str">
        <f>IFERROR(VLOOKUP(D291,data!$A:$J,10,FALSE()),"")</f>
        <v/>
      </c>
      <c r="J291" s="3" t="str">
        <f>IFERROR(VLOOKUP(E291,data!$A:$J,10,FALSE()),"")</f>
        <v/>
      </c>
      <c r="K291" s="3" t="str">
        <f>IFERROR(VLOOKUP(F291,data!$A:$J,10,FALSE()),"")</f>
        <v/>
      </c>
      <c r="L291" s="3" t="str">
        <f t="shared" si="5"/>
        <v>E53_G80</v>
      </c>
    </row>
    <row r="292" ht="15.75" customHeight="1">
      <c r="A292" s="1" t="s">
        <v>504</v>
      </c>
      <c r="B292" s="2" t="s">
        <v>11</v>
      </c>
      <c r="G292" s="3" t="str">
        <f>IFERROR(VLOOKUP(B292,data!$A:$J,10,FALSE()),"")</f>
        <v>E53_G218</v>
      </c>
      <c r="H292" s="3" t="str">
        <f>IFERROR(VLOOKUP(C292,data!$A:$J,10,FALSE()),"")</f>
        <v/>
      </c>
      <c r="I292" s="3" t="str">
        <f>IFERROR(VLOOKUP(D292,data!$A:$J,10,FALSE()),"")</f>
        <v/>
      </c>
      <c r="J292" s="3" t="str">
        <f>IFERROR(VLOOKUP(E292,data!$A:$J,10,FALSE()),"")</f>
        <v/>
      </c>
      <c r="K292" s="3" t="str">
        <f>IFERROR(VLOOKUP(F292,data!$A:$J,10,FALSE()),"")</f>
        <v/>
      </c>
      <c r="L292" s="3" t="str">
        <f t="shared" ref="L292:L319" si="6">_xlfn.TEXTJOIN(" ",TRUE(),G292:K292)</f>
        <v>E53_G218</v>
      </c>
    </row>
    <row r="293" ht="15.75" customHeight="1">
      <c r="A293" s="1" t="s">
        <v>505</v>
      </c>
      <c r="B293" s="2" t="s">
        <v>506</v>
      </c>
      <c r="G293" s="3" t="str">
        <f>IFERROR(VLOOKUP(B293,data!$A:$J,10,FALSE()),"")</f>
        <v>E53_G139</v>
      </c>
      <c r="H293" s="3" t="str">
        <f>IFERROR(VLOOKUP(C293,data!$A:$J,10,FALSE()),"")</f>
        <v/>
      </c>
      <c r="I293" s="3" t="str">
        <f>IFERROR(VLOOKUP(D293,data!$A:$J,10,FALSE()),"")</f>
        <v/>
      </c>
      <c r="J293" s="3" t="str">
        <f>IFERROR(VLOOKUP(E293,data!$A:$J,10,FALSE()),"")</f>
        <v/>
      </c>
      <c r="K293" s="3" t="str">
        <f>IFERROR(VLOOKUP(F293,data!$A:$J,10,FALSE()),"")</f>
        <v/>
      </c>
      <c r="L293" s="3" t="str">
        <f t="shared" si="6"/>
        <v>E53_G139</v>
      </c>
    </row>
    <row r="294" ht="15.75" customHeight="1">
      <c r="A294" s="1" t="s">
        <v>507</v>
      </c>
      <c r="B294" s="2" t="s">
        <v>4</v>
      </c>
      <c r="G294" s="3" t="str">
        <f>IFERROR(VLOOKUP(B294,data!$A:$J,10,FALSE()),"")</f>
        <v>E53_G96</v>
      </c>
      <c r="H294" s="3" t="str">
        <f>IFERROR(VLOOKUP(C294,data!$A:$J,10,FALSE()),"")</f>
        <v/>
      </c>
      <c r="I294" s="3" t="str">
        <f>IFERROR(VLOOKUP(D294,data!$A:$J,10,FALSE()),"")</f>
        <v/>
      </c>
      <c r="J294" s="3" t="str">
        <f>IFERROR(VLOOKUP(E294,data!$A:$J,10,FALSE()),"")</f>
        <v/>
      </c>
      <c r="K294" s="3" t="str">
        <f>IFERROR(VLOOKUP(F294,data!$A:$J,10,FALSE()),"")</f>
        <v/>
      </c>
      <c r="L294" s="3" t="str">
        <f t="shared" si="6"/>
        <v>E53_G96</v>
      </c>
    </row>
    <row r="295" ht="15.75" customHeight="1">
      <c r="A295" s="1" t="s">
        <v>508</v>
      </c>
      <c r="B295" s="2" t="s">
        <v>509</v>
      </c>
      <c r="G295" s="3" t="str">
        <f>IFERROR(VLOOKUP(B295,data!$A:$J,10,FALSE()),"")</f>
        <v>E53_G202</v>
      </c>
      <c r="H295" s="3" t="str">
        <f>IFERROR(VLOOKUP(C295,data!$A:$J,10,FALSE()),"")</f>
        <v/>
      </c>
      <c r="I295" s="3" t="str">
        <f>IFERROR(VLOOKUP(D295,data!$A:$J,10,FALSE()),"")</f>
        <v/>
      </c>
      <c r="J295" s="3" t="str">
        <f>IFERROR(VLOOKUP(E295,data!$A:$J,10,FALSE()),"")</f>
        <v/>
      </c>
      <c r="K295" s="3" t="str">
        <f>IFERROR(VLOOKUP(F295,data!$A:$J,10,FALSE()),"")</f>
        <v/>
      </c>
      <c r="L295" s="3" t="str">
        <f t="shared" si="6"/>
        <v>E53_G202</v>
      </c>
    </row>
    <row r="296" ht="15.75" customHeight="1">
      <c r="A296" s="1" t="s">
        <v>510</v>
      </c>
      <c r="B296" s="2" t="s">
        <v>511</v>
      </c>
      <c r="G296" s="3" t="str">
        <f>IFERROR(VLOOKUP(B296,data!$A:$J,10,FALSE()),"")</f>
        <v>E53_G115</v>
      </c>
      <c r="H296" s="3" t="str">
        <f>IFERROR(VLOOKUP(C296,data!$A:$J,10,FALSE()),"")</f>
        <v/>
      </c>
      <c r="I296" s="3" t="str">
        <f>IFERROR(VLOOKUP(D296,data!$A:$J,10,FALSE()),"")</f>
        <v/>
      </c>
      <c r="J296" s="3" t="str">
        <f>IFERROR(VLOOKUP(E296,data!$A:$J,10,FALSE()),"")</f>
        <v/>
      </c>
      <c r="K296" s="3" t="str">
        <f>IFERROR(VLOOKUP(F296,data!$A:$J,10,FALSE()),"")</f>
        <v/>
      </c>
      <c r="L296" s="3" t="str">
        <f t="shared" si="6"/>
        <v>E53_G115</v>
      </c>
    </row>
    <row r="297" ht="15.75" customHeight="1">
      <c r="A297" s="4" t="s">
        <v>512</v>
      </c>
      <c r="B297" s="2" t="s">
        <v>47</v>
      </c>
      <c r="G297" s="3" t="str">
        <f>IFERROR(VLOOKUP(B297,data!$A:$J,10,FALSE()),"")</f>
        <v>E53_G203</v>
      </c>
      <c r="H297" s="3" t="str">
        <f>IFERROR(VLOOKUP(C297,data!$A:$J,10,FALSE()),"")</f>
        <v/>
      </c>
      <c r="I297" s="3" t="str">
        <f>IFERROR(VLOOKUP(D297,data!$A:$J,10,FALSE()),"")</f>
        <v/>
      </c>
      <c r="J297" s="3" t="str">
        <f>IFERROR(VLOOKUP(E297,data!$A:$J,10,FALSE()),"")</f>
        <v/>
      </c>
      <c r="K297" s="3" t="str">
        <f>IFERROR(VLOOKUP(F297,data!$A:$J,10,FALSE()),"")</f>
        <v/>
      </c>
      <c r="L297" s="3" t="str">
        <f t="shared" si="6"/>
        <v>E53_G203</v>
      </c>
    </row>
    <row r="298" ht="15.75" customHeight="1">
      <c r="A298" s="1" t="s">
        <v>513</v>
      </c>
      <c r="B298" s="2" t="s">
        <v>514</v>
      </c>
      <c r="G298" s="3" t="str">
        <f>IFERROR(VLOOKUP(B298,data!$A:$J,10,FALSE()),"")</f>
        <v>E53_G8</v>
      </c>
      <c r="H298" s="3" t="str">
        <f>IFERROR(VLOOKUP(C298,data!$A:$J,10,FALSE()),"")</f>
        <v/>
      </c>
      <c r="I298" s="3" t="str">
        <f>IFERROR(VLOOKUP(D298,data!$A:$J,10,FALSE()),"")</f>
        <v/>
      </c>
      <c r="J298" s="3" t="str">
        <f>IFERROR(VLOOKUP(E298,data!$A:$J,10,FALSE()),"")</f>
        <v/>
      </c>
      <c r="K298" s="3" t="str">
        <f>IFERROR(VLOOKUP(F298,data!$A:$J,10,FALSE()),"")</f>
        <v/>
      </c>
      <c r="L298" s="3" t="str">
        <f t="shared" si="6"/>
        <v>E53_G8</v>
      </c>
    </row>
    <row r="299" ht="15.75" customHeight="1">
      <c r="A299" s="1" t="s">
        <v>515</v>
      </c>
      <c r="B299" s="2" t="s">
        <v>516</v>
      </c>
      <c r="G299" s="3" t="str">
        <f>IFERROR(VLOOKUP(B299,data!$A:$J,10,FALSE()),"")</f>
        <v>E53_G119</v>
      </c>
      <c r="H299" s="3" t="str">
        <f>IFERROR(VLOOKUP(C299,data!$A:$J,10,FALSE()),"")</f>
        <v/>
      </c>
      <c r="I299" s="3" t="str">
        <f>IFERROR(VLOOKUP(D299,data!$A:$J,10,FALSE()),"")</f>
        <v/>
      </c>
      <c r="J299" s="3" t="str">
        <f>IFERROR(VLOOKUP(E299,data!$A:$J,10,FALSE()),"")</f>
        <v/>
      </c>
      <c r="K299" s="3" t="str">
        <f>IFERROR(VLOOKUP(F299,data!$A:$J,10,FALSE()),"")</f>
        <v/>
      </c>
      <c r="L299" s="3" t="str">
        <f t="shared" si="6"/>
        <v>E53_G119</v>
      </c>
    </row>
    <row r="300" ht="15.75" customHeight="1">
      <c r="A300" s="1" t="s">
        <v>517</v>
      </c>
      <c r="B300" s="2" t="s">
        <v>360</v>
      </c>
      <c r="G300" s="3" t="str">
        <f>IFERROR(VLOOKUP(B300,data!$A:$J,10,FALSE()),"")</f>
        <v>E53_G109</v>
      </c>
      <c r="H300" s="3" t="str">
        <f>IFERROR(VLOOKUP(C300,data!$A:$J,10,FALSE()),"")</f>
        <v/>
      </c>
      <c r="I300" s="3" t="str">
        <f>IFERROR(VLOOKUP(D300,data!$A:$J,10,FALSE()),"")</f>
        <v/>
      </c>
      <c r="J300" s="3" t="str">
        <f>IFERROR(VLOOKUP(E300,data!$A:$J,10,FALSE()),"")</f>
        <v/>
      </c>
      <c r="K300" s="3" t="str">
        <f>IFERROR(VLOOKUP(F300,data!$A:$J,10,FALSE()),"")</f>
        <v/>
      </c>
      <c r="L300" s="3" t="str">
        <f t="shared" si="6"/>
        <v>E53_G109</v>
      </c>
    </row>
    <row r="301" ht="15.75" customHeight="1">
      <c r="A301" s="1" t="s">
        <v>518</v>
      </c>
      <c r="B301" s="2" t="s">
        <v>519</v>
      </c>
      <c r="G301" s="3" t="str">
        <f>IFERROR(VLOOKUP(B301,data!$A:$J,10,FALSE()),"")</f>
        <v>E53_G35</v>
      </c>
      <c r="H301" s="3" t="str">
        <f>IFERROR(VLOOKUP(C301,data!$A:$J,10,FALSE()),"")</f>
        <v/>
      </c>
      <c r="I301" s="3" t="str">
        <f>IFERROR(VLOOKUP(D301,data!$A:$J,10,FALSE()),"")</f>
        <v/>
      </c>
      <c r="J301" s="3" t="str">
        <f>IFERROR(VLOOKUP(E301,data!$A:$J,10,FALSE()),"")</f>
        <v/>
      </c>
      <c r="K301" s="3" t="str">
        <f>IFERROR(VLOOKUP(F301,data!$A:$J,10,FALSE()),"")</f>
        <v/>
      </c>
      <c r="L301" s="3" t="str">
        <f t="shared" si="6"/>
        <v>E53_G35</v>
      </c>
    </row>
    <row r="302" ht="15.75" customHeight="1">
      <c r="A302" s="1" t="s">
        <v>520</v>
      </c>
      <c r="B302" s="2" t="s">
        <v>521</v>
      </c>
      <c r="G302" s="3" t="str">
        <f>IFERROR(VLOOKUP(B302,data!$A:$J,10,FALSE()),"")</f>
        <v>E53_G132</v>
      </c>
      <c r="H302" s="3" t="str">
        <f>IFERROR(VLOOKUP(C302,data!$A:$J,10,FALSE()),"")</f>
        <v/>
      </c>
      <c r="I302" s="3" t="str">
        <f>IFERROR(VLOOKUP(D302,data!$A:$J,10,FALSE()),"")</f>
        <v/>
      </c>
      <c r="J302" s="3" t="str">
        <f>IFERROR(VLOOKUP(E302,data!$A:$J,10,FALSE()),"")</f>
        <v/>
      </c>
      <c r="K302" s="3" t="str">
        <f>IFERROR(VLOOKUP(F302,data!$A:$J,10,FALSE()),"")</f>
        <v/>
      </c>
      <c r="L302" s="3" t="str">
        <f t="shared" si="6"/>
        <v>E53_G132</v>
      </c>
    </row>
    <row r="303" ht="15.75" customHeight="1">
      <c r="A303" s="1" t="s">
        <v>522</v>
      </c>
      <c r="B303" s="2" t="s">
        <v>105</v>
      </c>
      <c r="G303" s="3" t="str">
        <f>IFERROR(VLOOKUP(B303,data!$A:$J,10,FALSE()),"")</f>
        <v>E53_G100</v>
      </c>
      <c r="H303" s="3" t="str">
        <f>IFERROR(VLOOKUP(C303,data!$A:$J,10,FALSE()),"")</f>
        <v/>
      </c>
      <c r="I303" s="3" t="str">
        <f>IFERROR(VLOOKUP(D303,data!$A:$J,10,FALSE()),"")</f>
        <v/>
      </c>
      <c r="J303" s="3" t="str">
        <f>IFERROR(VLOOKUP(E303,data!$A:$J,10,FALSE()),"")</f>
        <v/>
      </c>
      <c r="K303" s="3" t="str">
        <f>IFERROR(VLOOKUP(F303,data!$A:$J,10,FALSE()),"")</f>
        <v/>
      </c>
      <c r="L303" s="3" t="str">
        <f t="shared" si="6"/>
        <v>E53_G100</v>
      </c>
    </row>
    <row r="304" ht="15.75" customHeight="1">
      <c r="A304" s="1" t="s">
        <v>523</v>
      </c>
      <c r="B304" s="2" t="s">
        <v>524</v>
      </c>
      <c r="G304" s="3" t="str">
        <f>IFERROR(VLOOKUP(B304,data!$A:$J,10,FALSE()),"")</f>
        <v>E53_G17</v>
      </c>
      <c r="H304" s="3" t="str">
        <f>IFERROR(VLOOKUP(C304,data!$A:$J,10,FALSE()),"")</f>
        <v/>
      </c>
      <c r="I304" s="3" t="str">
        <f>IFERROR(VLOOKUP(D304,data!$A:$J,10,FALSE()),"")</f>
        <v/>
      </c>
      <c r="J304" s="3" t="str">
        <f>IFERROR(VLOOKUP(E304,data!$A:$J,10,FALSE()),"")</f>
        <v/>
      </c>
      <c r="K304" s="3" t="str">
        <f>IFERROR(VLOOKUP(F304,data!$A:$J,10,FALSE()),"")</f>
        <v/>
      </c>
      <c r="L304" s="3" t="str">
        <f t="shared" si="6"/>
        <v>E53_G17</v>
      </c>
    </row>
    <row r="305" ht="15.75" customHeight="1">
      <c r="A305" s="1" t="s">
        <v>525</v>
      </c>
      <c r="B305" s="2" t="s">
        <v>526</v>
      </c>
      <c r="G305" s="3" t="str">
        <f>IFERROR(VLOOKUP(B305,data!$A:$J,10,FALSE()),"")</f>
        <v>E53_G49</v>
      </c>
      <c r="H305" s="3" t="str">
        <f>IFERROR(VLOOKUP(C305,data!$A:$J,10,FALSE()),"")</f>
        <v/>
      </c>
      <c r="I305" s="3" t="str">
        <f>IFERROR(VLOOKUP(D305,data!$A:$J,10,FALSE()),"")</f>
        <v/>
      </c>
      <c r="J305" s="3" t="str">
        <f>IFERROR(VLOOKUP(E305,data!$A:$J,10,FALSE()),"")</f>
        <v/>
      </c>
      <c r="K305" s="3" t="str">
        <f>IFERROR(VLOOKUP(F305,data!$A:$J,10,FALSE()),"")</f>
        <v/>
      </c>
      <c r="L305" s="3" t="str">
        <f t="shared" si="6"/>
        <v>E53_G49</v>
      </c>
    </row>
    <row r="306" ht="15.75" customHeight="1">
      <c r="A306" s="1" t="s">
        <v>527</v>
      </c>
      <c r="B306" s="2" t="s">
        <v>528</v>
      </c>
      <c r="G306" s="3" t="str">
        <f>IFERROR(VLOOKUP(B306,data!$A:$J,10,FALSE()),"")</f>
        <v>E53_G147</v>
      </c>
      <c r="H306" s="3" t="str">
        <f>IFERROR(VLOOKUP(C306,data!$A:$J,10,FALSE()),"")</f>
        <v/>
      </c>
      <c r="I306" s="3" t="str">
        <f>IFERROR(VLOOKUP(D306,data!$A:$J,10,FALSE()),"")</f>
        <v/>
      </c>
      <c r="J306" s="3" t="str">
        <f>IFERROR(VLOOKUP(E306,data!$A:$J,10,FALSE()),"")</f>
        <v/>
      </c>
      <c r="K306" s="3" t="str">
        <f>IFERROR(VLOOKUP(F306,data!$A:$J,10,FALSE()),"")</f>
        <v/>
      </c>
      <c r="L306" s="3" t="str">
        <f t="shared" si="6"/>
        <v>E53_G147</v>
      </c>
    </row>
    <row r="307" ht="15.75" customHeight="1">
      <c r="A307" s="1" t="s">
        <v>529</v>
      </c>
      <c r="B307" s="2" t="s">
        <v>530</v>
      </c>
      <c r="G307" s="3" t="str">
        <f>IFERROR(VLOOKUP(B307,data!$A:$J,10,FALSE()),"")</f>
        <v>E53_G153</v>
      </c>
      <c r="H307" s="3" t="str">
        <f>IFERROR(VLOOKUP(C307,data!$A:$J,10,FALSE()),"")</f>
        <v/>
      </c>
      <c r="I307" s="3" t="str">
        <f>IFERROR(VLOOKUP(D307,data!$A:$J,10,FALSE()),"")</f>
        <v/>
      </c>
      <c r="J307" s="3" t="str">
        <f>IFERROR(VLOOKUP(E307,data!$A:$J,10,FALSE()),"")</f>
        <v/>
      </c>
      <c r="K307" s="3" t="str">
        <f>IFERROR(VLOOKUP(F307,data!$A:$J,10,FALSE()),"")</f>
        <v/>
      </c>
      <c r="L307" s="3" t="str">
        <f t="shared" si="6"/>
        <v>E53_G153</v>
      </c>
    </row>
    <row r="308" ht="15.75" customHeight="1">
      <c r="A308" s="1" t="s">
        <v>531</v>
      </c>
      <c r="B308" s="2" t="s">
        <v>74</v>
      </c>
      <c r="G308" s="3" t="str">
        <f>IFERROR(VLOOKUP(B308,data!$A:$J,10,FALSE()),"")</f>
        <v>E53_G135</v>
      </c>
      <c r="H308" s="3" t="str">
        <f>IFERROR(VLOOKUP(C308,data!$A:$J,10,FALSE()),"")</f>
        <v/>
      </c>
      <c r="I308" s="3" t="str">
        <f>IFERROR(VLOOKUP(D308,data!$A:$J,10,FALSE()),"")</f>
        <v/>
      </c>
      <c r="J308" s="3" t="str">
        <f>IFERROR(VLOOKUP(E308,data!$A:$J,10,FALSE()),"")</f>
        <v/>
      </c>
      <c r="K308" s="3" t="str">
        <f>IFERROR(VLOOKUP(F308,data!$A:$J,10,FALSE()),"")</f>
        <v/>
      </c>
      <c r="L308" s="3" t="str">
        <f t="shared" si="6"/>
        <v>E53_G135</v>
      </c>
    </row>
    <row r="309" ht="15.75" customHeight="1">
      <c r="A309" s="1" t="s">
        <v>532</v>
      </c>
      <c r="B309" s="2" t="s">
        <v>533</v>
      </c>
      <c r="G309" s="3" t="str">
        <f>IFERROR(VLOOKUP(B309,data!$A:$J,10,FALSE()),"")</f>
        <v>E53_G231</v>
      </c>
      <c r="H309" s="3" t="str">
        <f>IFERROR(VLOOKUP(C309,data!$A:$J,10,FALSE()),"")</f>
        <v/>
      </c>
      <c r="I309" s="3" t="str">
        <f>IFERROR(VLOOKUP(D309,data!$A:$J,10,FALSE()),"")</f>
        <v/>
      </c>
      <c r="J309" s="3" t="str">
        <f>IFERROR(VLOOKUP(E309,data!$A:$J,10,FALSE()),"")</f>
        <v/>
      </c>
      <c r="K309" s="3" t="str">
        <f>IFERROR(VLOOKUP(F309,data!$A:$J,10,FALSE()),"")</f>
        <v/>
      </c>
      <c r="L309" s="3" t="str">
        <f t="shared" si="6"/>
        <v>E53_G231</v>
      </c>
    </row>
    <row r="310" ht="15.75" customHeight="1">
      <c r="A310" s="1" t="s">
        <v>534</v>
      </c>
      <c r="B310" s="2" t="s">
        <v>535</v>
      </c>
      <c r="G310" s="3" t="str">
        <f>IFERROR(VLOOKUP(B310,data!$A:$J,10,FALSE()),"")</f>
        <v>E53_G90</v>
      </c>
      <c r="H310" s="3" t="str">
        <f>IFERROR(VLOOKUP(C310,data!$A:$J,10,FALSE()),"")</f>
        <v/>
      </c>
      <c r="I310" s="3" t="str">
        <f>IFERROR(VLOOKUP(D310,data!$A:$J,10,FALSE()),"")</f>
        <v/>
      </c>
      <c r="J310" s="3" t="str">
        <f>IFERROR(VLOOKUP(E310,data!$A:$J,10,FALSE()),"")</f>
        <v/>
      </c>
      <c r="K310" s="3" t="str">
        <f>IFERROR(VLOOKUP(F310,data!$A:$J,10,FALSE()),"")</f>
        <v/>
      </c>
      <c r="L310" s="3" t="str">
        <f t="shared" si="6"/>
        <v>E53_G90</v>
      </c>
    </row>
    <row r="311" ht="15.75" customHeight="1">
      <c r="A311" s="1" t="s">
        <v>536</v>
      </c>
      <c r="B311" s="2" t="s">
        <v>166</v>
      </c>
      <c r="G311" s="3" t="str">
        <f>IFERROR(VLOOKUP(B311,data!$A:$J,10,FALSE()),"")</f>
        <v>E53_G85</v>
      </c>
      <c r="H311" s="3" t="str">
        <f>IFERROR(VLOOKUP(C311,data!$A:$J,10,FALSE()),"")</f>
        <v/>
      </c>
      <c r="I311" s="3" t="str">
        <f>IFERROR(VLOOKUP(D311,data!$A:$J,10,FALSE()),"")</f>
        <v/>
      </c>
      <c r="J311" s="3" t="str">
        <f>IFERROR(VLOOKUP(E311,data!$A:$J,10,FALSE()),"")</f>
        <v/>
      </c>
      <c r="K311" s="3" t="str">
        <f>IFERROR(VLOOKUP(F311,data!$A:$J,10,FALSE()),"")</f>
        <v/>
      </c>
      <c r="L311" s="3" t="str">
        <f t="shared" si="6"/>
        <v>E53_G85</v>
      </c>
    </row>
    <row r="312" ht="15.75" customHeight="1">
      <c r="A312" s="1" t="s">
        <v>537</v>
      </c>
      <c r="B312" s="2" t="s">
        <v>11</v>
      </c>
      <c r="G312" s="3" t="str">
        <f>IFERROR(VLOOKUP(B312,data!$A:$J,10,FALSE()),"")</f>
        <v>E53_G218</v>
      </c>
      <c r="H312" s="3" t="str">
        <f>IFERROR(VLOOKUP(C312,data!$A:$J,10,FALSE()),"")</f>
        <v/>
      </c>
      <c r="I312" s="3" t="str">
        <f>IFERROR(VLOOKUP(D312,data!$A:$J,10,FALSE()),"")</f>
        <v/>
      </c>
      <c r="J312" s="3" t="str">
        <f>IFERROR(VLOOKUP(E312,data!$A:$J,10,FALSE()),"")</f>
        <v/>
      </c>
      <c r="K312" s="3" t="str">
        <f>IFERROR(VLOOKUP(F312,data!$A:$J,10,FALSE()),"")</f>
        <v/>
      </c>
      <c r="L312" s="3" t="str">
        <f t="shared" si="6"/>
        <v>E53_G218</v>
      </c>
    </row>
    <row r="313" ht="15.75" customHeight="1">
      <c r="A313" s="1" t="s">
        <v>538</v>
      </c>
      <c r="B313" s="2" t="s">
        <v>539</v>
      </c>
      <c r="G313" s="3" t="str">
        <f>IFERROR(VLOOKUP(B313,data!$A:$J,10,FALSE()),"")</f>
        <v>E53_G11</v>
      </c>
      <c r="H313" s="3" t="str">
        <f>IFERROR(VLOOKUP(C313,data!$A:$J,10,FALSE()),"")</f>
        <v/>
      </c>
      <c r="I313" s="3" t="str">
        <f>IFERROR(VLOOKUP(D313,data!$A:$J,10,FALSE()),"")</f>
        <v/>
      </c>
      <c r="J313" s="3" t="str">
        <f>IFERROR(VLOOKUP(E313,data!$A:$J,10,FALSE()),"")</f>
        <v/>
      </c>
      <c r="K313" s="3" t="str">
        <f>IFERROR(VLOOKUP(F313,data!$A:$J,10,FALSE()),"")</f>
        <v/>
      </c>
      <c r="L313" s="3" t="str">
        <f t="shared" si="6"/>
        <v>E53_G11</v>
      </c>
    </row>
    <row r="314" ht="15.75" customHeight="1">
      <c r="A314" s="1" t="s">
        <v>540</v>
      </c>
      <c r="B314" s="2" t="s">
        <v>47</v>
      </c>
      <c r="G314" s="3" t="str">
        <f>IFERROR(VLOOKUP(B314,data!$A:$J,10,FALSE()),"")</f>
        <v>E53_G203</v>
      </c>
      <c r="H314" s="3" t="str">
        <f>IFERROR(VLOOKUP(C314,data!$A:$J,10,FALSE()),"")</f>
        <v/>
      </c>
      <c r="I314" s="3" t="str">
        <f>IFERROR(VLOOKUP(D314,data!$A:$J,10,FALSE()),"")</f>
        <v/>
      </c>
      <c r="J314" s="3" t="str">
        <f>IFERROR(VLOOKUP(E314,data!$A:$J,10,FALSE()),"")</f>
        <v/>
      </c>
      <c r="K314" s="3" t="str">
        <f>IFERROR(VLOOKUP(F314,data!$A:$J,10,FALSE()),"")</f>
        <v/>
      </c>
      <c r="L314" s="3" t="str">
        <f t="shared" si="6"/>
        <v>E53_G203</v>
      </c>
    </row>
    <row r="315" ht="15.75" customHeight="1">
      <c r="A315" s="1" t="s">
        <v>541</v>
      </c>
      <c r="B315" s="2" t="s">
        <v>116</v>
      </c>
      <c r="G315" s="3" t="str">
        <f>IFERROR(VLOOKUP(B315,data!$A:$J,10,FALSE()),"")</f>
        <v>E53_G12</v>
      </c>
      <c r="H315" s="3" t="str">
        <f>IFERROR(VLOOKUP(C315,data!$A:$J,10,FALSE()),"")</f>
        <v/>
      </c>
      <c r="I315" s="3" t="str">
        <f>IFERROR(VLOOKUP(D315,data!$A:$J,10,FALSE()),"")</f>
        <v/>
      </c>
      <c r="J315" s="3" t="str">
        <f>IFERROR(VLOOKUP(E315,data!$A:$J,10,FALSE()),"")</f>
        <v/>
      </c>
      <c r="K315" s="3" t="str">
        <f>IFERROR(VLOOKUP(F315,data!$A:$J,10,FALSE()),"")</f>
        <v/>
      </c>
      <c r="L315" s="3" t="str">
        <f t="shared" si="6"/>
        <v>E53_G12</v>
      </c>
    </row>
    <row r="316" ht="15.75" customHeight="1">
      <c r="A316" s="1" t="s">
        <v>542</v>
      </c>
      <c r="B316" s="2" t="s">
        <v>294</v>
      </c>
      <c r="G316" s="3" t="str">
        <f>IFERROR(VLOOKUP(B316,data!$A:$J,10,FALSE()),"")</f>
        <v>E53_G230</v>
      </c>
      <c r="H316" s="3" t="str">
        <f>IFERROR(VLOOKUP(C316,data!$A:$J,10,FALSE()),"")</f>
        <v/>
      </c>
      <c r="I316" s="3" t="str">
        <f>IFERROR(VLOOKUP(D316,data!$A:$J,10,FALSE()),"")</f>
        <v/>
      </c>
      <c r="J316" s="3" t="str">
        <f>IFERROR(VLOOKUP(E316,data!$A:$J,10,FALSE()),"")</f>
        <v/>
      </c>
      <c r="K316" s="3" t="str">
        <f>IFERROR(VLOOKUP(F316,data!$A:$J,10,FALSE()),"")</f>
        <v/>
      </c>
      <c r="L316" s="3" t="str">
        <f t="shared" si="6"/>
        <v>E53_G230</v>
      </c>
    </row>
    <row r="317" ht="15.75" customHeight="1">
      <c r="A317" s="1" t="s">
        <v>543</v>
      </c>
      <c r="B317" s="2" t="s">
        <v>544</v>
      </c>
      <c r="G317" s="3" t="str">
        <f>IFERROR(VLOOKUP(B317,data!$A:$J,10,FALSE()),"")</f>
        <v>E53_G206</v>
      </c>
      <c r="H317" s="3" t="str">
        <f>IFERROR(VLOOKUP(C317,data!$A:$J,10,FALSE()),"")</f>
        <v/>
      </c>
      <c r="I317" s="3" t="str">
        <f>IFERROR(VLOOKUP(D317,data!$A:$J,10,FALSE()),"")</f>
        <v/>
      </c>
      <c r="J317" s="3" t="str">
        <f>IFERROR(VLOOKUP(E317,data!$A:$J,10,FALSE()),"")</f>
        <v/>
      </c>
      <c r="K317" s="3" t="str">
        <f>IFERROR(VLOOKUP(F317,data!$A:$J,10,FALSE()),"")</f>
        <v/>
      </c>
      <c r="L317" s="3" t="str">
        <f t="shared" si="6"/>
        <v>E53_G206</v>
      </c>
    </row>
    <row r="318" ht="15.75" customHeight="1">
      <c r="A318" s="1" t="s">
        <v>545</v>
      </c>
      <c r="B318" s="2" t="s">
        <v>546</v>
      </c>
      <c r="G318" s="3" t="str">
        <f>IFERROR(VLOOKUP(B318,data!$A:$J,10,FALSE()),"")</f>
        <v>E53_G63</v>
      </c>
      <c r="H318" s="3" t="str">
        <f>IFERROR(VLOOKUP(C318,data!$A:$J,10,FALSE()),"")</f>
        <v/>
      </c>
      <c r="I318" s="3" t="str">
        <f>IFERROR(VLOOKUP(D318,data!$A:$J,10,FALSE()),"")</f>
        <v/>
      </c>
      <c r="J318" s="3" t="str">
        <f>IFERROR(VLOOKUP(E318,data!$A:$J,10,FALSE()),"")</f>
        <v/>
      </c>
      <c r="K318" s="3" t="str">
        <f>IFERROR(VLOOKUP(F318,data!$A:$J,10,FALSE()),"")</f>
        <v/>
      </c>
      <c r="L318" s="3" t="str">
        <f t="shared" si="6"/>
        <v>E53_G63</v>
      </c>
    </row>
    <row r="319" ht="15.75" customHeight="1">
      <c r="A319" s="1" t="s">
        <v>547</v>
      </c>
      <c r="B319" s="2" t="s">
        <v>548</v>
      </c>
      <c r="G319" s="3" t="str">
        <f>IFERROR(VLOOKUP(B319,data!$A:$J,10,FALSE()),"")</f>
        <v>E53_G194</v>
      </c>
      <c r="H319" s="3" t="str">
        <f>IFERROR(VLOOKUP(C319,data!$A:$J,10,FALSE()),"")</f>
        <v/>
      </c>
      <c r="I319" s="3" t="str">
        <f>IFERROR(VLOOKUP(D319,data!$A:$J,10,FALSE()),"")</f>
        <v/>
      </c>
      <c r="J319" s="3" t="str">
        <f>IFERROR(VLOOKUP(E319,data!$A:$J,10,FALSE()),"")</f>
        <v/>
      </c>
      <c r="K319" s="3" t="str">
        <f>IFERROR(VLOOKUP(F319,data!$A:$J,10,FALSE()),"")</f>
        <v/>
      </c>
      <c r="L319" s="3" t="str">
        <f t="shared" si="6"/>
        <v>E53_G194</v>
      </c>
    </row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1048555" ht="12.800000000000001" customHeight="1"/>
    <row r="1048556" ht="12.800000000000001" customHeight="1"/>
    <row r="1048557" ht="12.800000000000001" customHeight="1"/>
    <row r="1048558" ht="12.800000000000001" customHeight="1"/>
    <row r="1048559" ht="12.800000000000001" customHeight="1"/>
    <row r="1048560" ht="12.800000000000001" customHeight="1"/>
    <row r="1048561" ht="12.800000000000001" customHeight="1"/>
    <row r="1048562" ht="12.800000000000001" customHeight="1"/>
    <row r="1048563" ht="12.800000000000001" customHeight="1"/>
    <row r="1048564" ht="12.800000000000001" customHeight="1"/>
    <row r="1048565" ht="12.800000000000001" customHeight="1"/>
    <row r="1048566" ht="12.800000000000001" customHeight="1"/>
    <row r="1048567" ht="12.800000000000001" customHeight="1"/>
    <row r="1048568" ht="12.800000000000001" customHeight="1"/>
    <row r="1048569" ht="12.800000000000001" customHeight="1"/>
    <row r="1048570" ht="12.800000000000001" customHeight="1"/>
    <row r="1048571" ht="12.800000000000001" customHeight="1"/>
    <row r="1048572" ht="12.800000000000001" customHeight="1"/>
    <row r="1048573" ht="12.800000000000001" customHeight="1"/>
    <row r="1048574" ht="12.800000000000001" customHeight="1"/>
    <row r="1048575" ht="12.800000000000001" customHeight="1"/>
    <row r="1048576" ht="12.800000000000001" customHeight="1"/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10" workbookViewId="0">
      <pane ySplit="1" topLeftCell="A2" activePane="bottomLeft" state="frozen"/>
      <selection activeCell="B98" activeCellId="0" sqref="B98"/>
    </sheetView>
  </sheetViews>
  <sheetFormatPr defaultColWidth="11.53515625" defaultRowHeight="12.800000000000001" customHeight="1"/>
  <sheetData>
    <row r="1" ht="13.800000000000001">
      <c r="A1" s="5" t="s">
        <v>1</v>
      </c>
      <c r="B1" s="5" t="s">
        <v>549</v>
      </c>
      <c r="C1" s="5" t="s">
        <v>550</v>
      </c>
      <c r="D1" s="5" t="s">
        <v>551</v>
      </c>
      <c r="E1" s="5" t="s">
        <v>552</v>
      </c>
      <c r="F1" s="5" t="s">
        <v>553</v>
      </c>
      <c r="G1" s="5" t="s">
        <v>554</v>
      </c>
      <c r="H1" s="5" t="s">
        <v>555</v>
      </c>
      <c r="I1" s="5" t="s">
        <v>556</v>
      </c>
      <c r="J1" s="5" t="s">
        <v>2</v>
      </c>
    </row>
    <row r="2" ht="13.800000000000001">
      <c r="A2">
        <v>2661876</v>
      </c>
      <c r="B2" t="s">
        <v>557</v>
      </c>
      <c r="C2" t="s">
        <v>558</v>
      </c>
      <c r="D2" t="s">
        <v>559</v>
      </c>
      <c r="E2" t="s">
        <v>560</v>
      </c>
      <c r="F2" t="s">
        <v>561</v>
      </c>
      <c r="G2" t="s">
        <v>558</v>
      </c>
      <c r="H2" t="s">
        <v>559</v>
      </c>
      <c r="I2">
        <v>0</v>
      </c>
      <c r="J2" t="str">
        <f t="shared" ref="J2:J9" si="7">_xlfn.CONCAT("E53_G",I2)</f>
        <v>E53_G0</v>
      </c>
    </row>
    <row r="3" ht="13.800000000000001">
      <c r="A3">
        <v>1512236</v>
      </c>
      <c r="B3" t="s">
        <v>562</v>
      </c>
      <c r="C3" t="s">
        <v>563</v>
      </c>
      <c r="D3" t="s">
        <v>562</v>
      </c>
      <c r="E3" t="s">
        <v>564</v>
      </c>
      <c r="F3" t="s">
        <v>562</v>
      </c>
      <c r="G3" t="s">
        <v>563</v>
      </c>
      <c r="H3" t="s">
        <v>562</v>
      </c>
      <c r="I3">
        <f t="shared" ref="I3:I10" si="8">I2+1</f>
        <v>1</v>
      </c>
      <c r="J3" t="str">
        <f t="shared" si="7"/>
        <v>E53_G1</v>
      </c>
    </row>
    <row r="4" ht="13.800000000000001">
      <c r="A4">
        <v>2759794</v>
      </c>
      <c r="B4" t="s">
        <v>20</v>
      </c>
      <c r="C4" t="s">
        <v>565</v>
      </c>
      <c r="D4" t="s">
        <v>20</v>
      </c>
      <c r="E4" t="s">
        <v>566</v>
      </c>
      <c r="F4" t="s">
        <v>20</v>
      </c>
      <c r="G4" t="s">
        <v>567</v>
      </c>
      <c r="H4" t="s">
        <v>20</v>
      </c>
      <c r="I4">
        <f t="shared" si="8"/>
        <v>2</v>
      </c>
      <c r="J4" t="str">
        <f t="shared" si="7"/>
        <v>E53_G2</v>
      </c>
    </row>
    <row r="5" ht="13.800000000000001">
      <c r="A5">
        <v>12514108</v>
      </c>
      <c r="B5" t="s">
        <v>568</v>
      </c>
      <c r="C5" t="s">
        <v>563</v>
      </c>
      <c r="D5" t="s">
        <v>568</v>
      </c>
      <c r="E5" t="s">
        <v>569</v>
      </c>
      <c r="F5" t="s">
        <v>568</v>
      </c>
      <c r="G5" t="s">
        <v>563</v>
      </c>
      <c r="H5" t="s">
        <v>568</v>
      </c>
      <c r="I5">
        <f t="shared" si="8"/>
        <v>3</v>
      </c>
      <c r="J5" t="str">
        <f t="shared" si="7"/>
        <v>E53_G3</v>
      </c>
    </row>
    <row r="6" ht="13.800000000000001">
      <c r="A6">
        <v>162183</v>
      </c>
      <c r="B6" t="s">
        <v>570</v>
      </c>
      <c r="C6" t="s">
        <v>571</v>
      </c>
      <c r="D6" t="s">
        <v>572</v>
      </c>
      <c r="E6" t="s">
        <v>573</v>
      </c>
      <c r="F6" t="s">
        <v>570</v>
      </c>
      <c r="G6" t="s">
        <v>571</v>
      </c>
      <c r="H6" t="s">
        <v>572</v>
      </c>
      <c r="I6">
        <f t="shared" si="8"/>
        <v>4</v>
      </c>
      <c r="J6" t="str">
        <f t="shared" si="7"/>
        <v>E53_G4</v>
      </c>
    </row>
    <row r="7" ht="13.800000000000001">
      <c r="A7">
        <v>264371</v>
      </c>
      <c r="B7" t="s">
        <v>574</v>
      </c>
      <c r="C7" t="s">
        <v>575</v>
      </c>
      <c r="D7" t="s">
        <v>576</v>
      </c>
      <c r="E7" t="s">
        <v>577</v>
      </c>
      <c r="F7" t="s">
        <v>574</v>
      </c>
      <c r="G7" t="s">
        <v>575</v>
      </c>
      <c r="H7" t="s">
        <v>576</v>
      </c>
      <c r="I7">
        <f t="shared" si="8"/>
        <v>5</v>
      </c>
      <c r="J7" t="str">
        <f t="shared" si="7"/>
        <v>E53_G5</v>
      </c>
    </row>
    <row r="8" ht="13.800000000000001">
      <c r="A8">
        <v>587084</v>
      </c>
      <c r="B8" t="s">
        <v>578</v>
      </c>
      <c r="C8" t="s">
        <v>579</v>
      </c>
      <c r="D8" t="s">
        <v>578</v>
      </c>
      <c r="E8" t="s">
        <v>580</v>
      </c>
      <c r="F8" t="s">
        <v>578</v>
      </c>
      <c r="G8" t="s">
        <v>579</v>
      </c>
      <c r="H8" t="s">
        <v>578</v>
      </c>
      <c r="I8">
        <f t="shared" si="8"/>
        <v>6</v>
      </c>
      <c r="J8" t="str">
        <f t="shared" si="7"/>
        <v>E53_G6</v>
      </c>
    </row>
    <row r="9" ht="13.800000000000001">
      <c r="A9">
        <v>4347778</v>
      </c>
      <c r="B9" t="s">
        <v>109</v>
      </c>
      <c r="C9" t="s">
        <v>581</v>
      </c>
      <c r="D9" t="s">
        <v>109</v>
      </c>
      <c r="E9" t="s">
        <v>582</v>
      </c>
      <c r="F9" t="s">
        <v>109</v>
      </c>
      <c r="G9" t="s">
        <v>581</v>
      </c>
      <c r="H9" t="s">
        <v>109</v>
      </c>
      <c r="I9">
        <f t="shared" si="8"/>
        <v>7</v>
      </c>
      <c r="J9" t="str">
        <f t="shared" si="7"/>
        <v>E53_G7</v>
      </c>
    </row>
    <row r="10" ht="13.800000000000001">
      <c r="A10">
        <v>3061186</v>
      </c>
      <c r="B10" t="s">
        <v>513</v>
      </c>
      <c r="C10" t="s">
        <v>583</v>
      </c>
      <c r="D10" t="s">
        <v>584</v>
      </c>
      <c r="E10" t="s">
        <v>585</v>
      </c>
      <c r="F10" t="s">
        <v>513</v>
      </c>
      <c r="G10" t="s">
        <v>583</v>
      </c>
      <c r="H10" t="s">
        <v>584</v>
      </c>
      <c r="I10">
        <f t="shared" si="8"/>
        <v>8</v>
      </c>
      <c r="J10" t="str">
        <f t="shared" ref="J10:J73" si="9">_xlfn.CONCAT("E53_G",I10)</f>
        <v>E53_G8</v>
      </c>
    </row>
    <row r="11" ht="13.800000000000001">
      <c r="A11">
        <v>3128760</v>
      </c>
      <c r="B11" t="s">
        <v>111</v>
      </c>
      <c r="C11" t="s">
        <v>586</v>
      </c>
      <c r="D11" t="s">
        <v>111</v>
      </c>
      <c r="E11" t="s">
        <v>587</v>
      </c>
      <c r="F11" t="s">
        <v>111</v>
      </c>
      <c r="G11" t="s">
        <v>586</v>
      </c>
      <c r="H11" t="s">
        <v>111</v>
      </c>
      <c r="I11">
        <f t="shared" ref="I11:I74" si="10">I10+1</f>
        <v>9</v>
      </c>
      <c r="J11" t="str">
        <f t="shared" si="9"/>
        <v>E53_G9</v>
      </c>
    </row>
    <row r="12" ht="13.800000000000001">
      <c r="A12">
        <v>2656192</v>
      </c>
      <c r="B12" t="s">
        <v>588</v>
      </c>
      <c r="C12" t="s">
        <v>589</v>
      </c>
      <c r="D12" t="s">
        <v>588</v>
      </c>
      <c r="E12" t="s">
        <v>590</v>
      </c>
      <c r="F12" t="s">
        <v>588</v>
      </c>
      <c r="G12" t="s">
        <v>589</v>
      </c>
      <c r="H12" t="s">
        <v>588</v>
      </c>
      <c r="I12">
        <f t="shared" si="10"/>
        <v>10</v>
      </c>
      <c r="J12" t="str">
        <f t="shared" si="9"/>
        <v>E53_G10</v>
      </c>
    </row>
    <row r="13" ht="13.800000000000001">
      <c r="A13">
        <v>615532</v>
      </c>
      <c r="B13" t="s">
        <v>591</v>
      </c>
      <c r="C13" t="s">
        <v>592</v>
      </c>
      <c r="D13" t="s">
        <v>591</v>
      </c>
      <c r="E13" t="s">
        <v>593</v>
      </c>
      <c r="F13" t="s">
        <v>591</v>
      </c>
      <c r="G13" t="s">
        <v>592</v>
      </c>
      <c r="H13" t="s">
        <v>591</v>
      </c>
      <c r="I13">
        <f t="shared" si="10"/>
        <v>11</v>
      </c>
      <c r="J13" t="str">
        <f t="shared" si="9"/>
        <v>E53_G11</v>
      </c>
    </row>
    <row r="14" ht="13.800000000000001">
      <c r="A14">
        <v>1816670</v>
      </c>
      <c r="B14" t="s">
        <v>541</v>
      </c>
      <c r="C14" t="s">
        <v>594</v>
      </c>
      <c r="D14" t="s">
        <v>595</v>
      </c>
      <c r="E14" t="s">
        <v>596</v>
      </c>
      <c r="F14" t="s">
        <v>541</v>
      </c>
      <c r="G14" t="s">
        <v>597</v>
      </c>
      <c r="H14" t="s">
        <v>595</v>
      </c>
      <c r="I14">
        <f t="shared" si="10"/>
        <v>12</v>
      </c>
      <c r="J14" t="str">
        <f t="shared" si="9"/>
        <v>E53_G12</v>
      </c>
    </row>
    <row r="15" ht="13.800000000000001">
      <c r="A15">
        <v>792680</v>
      </c>
      <c r="B15" t="s">
        <v>598</v>
      </c>
      <c r="C15" t="s">
        <v>599</v>
      </c>
      <c r="D15" t="s">
        <v>600</v>
      </c>
      <c r="E15" t="s">
        <v>601</v>
      </c>
      <c r="F15" t="s">
        <v>598</v>
      </c>
      <c r="G15" t="s">
        <v>599</v>
      </c>
      <c r="H15" t="s">
        <v>600</v>
      </c>
      <c r="I15">
        <f t="shared" si="10"/>
        <v>13</v>
      </c>
      <c r="J15" t="str">
        <f t="shared" si="9"/>
        <v>E53_G13</v>
      </c>
    </row>
    <row r="16" ht="13.800000000000001">
      <c r="A16">
        <v>2950159</v>
      </c>
      <c r="B16" t="s">
        <v>28</v>
      </c>
      <c r="C16" t="s">
        <v>602</v>
      </c>
      <c r="D16" t="s">
        <v>28</v>
      </c>
      <c r="E16" t="s">
        <v>603</v>
      </c>
      <c r="F16" t="s">
        <v>28</v>
      </c>
      <c r="G16" t="s">
        <v>602</v>
      </c>
      <c r="H16" t="s">
        <v>28</v>
      </c>
      <c r="I16">
        <f t="shared" si="10"/>
        <v>14</v>
      </c>
      <c r="J16" t="str">
        <f t="shared" si="9"/>
        <v>E53_G14</v>
      </c>
    </row>
    <row r="17" ht="13.800000000000001">
      <c r="A17">
        <v>776069</v>
      </c>
      <c r="B17" t="s">
        <v>604</v>
      </c>
      <c r="C17" t="s">
        <v>605</v>
      </c>
      <c r="D17" t="s">
        <v>119</v>
      </c>
      <c r="E17" t="s">
        <v>606</v>
      </c>
      <c r="F17" t="s">
        <v>119</v>
      </c>
      <c r="G17" t="s">
        <v>605</v>
      </c>
      <c r="H17" t="s">
        <v>119</v>
      </c>
      <c r="I17">
        <f t="shared" si="10"/>
        <v>15</v>
      </c>
      <c r="J17" t="str">
        <f t="shared" si="9"/>
        <v>E53_G15</v>
      </c>
    </row>
    <row r="18" ht="13.800000000000001">
      <c r="A18">
        <v>3103402</v>
      </c>
      <c r="B18" t="s">
        <v>607</v>
      </c>
      <c r="C18" t="s">
        <v>605</v>
      </c>
      <c r="D18" t="s">
        <v>121</v>
      </c>
      <c r="E18" t="s">
        <v>608</v>
      </c>
      <c r="F18" t="s">
        <v>121</v>
      </c>
      <c r="G18" t="s">
        <v>605</v>
      </c>
      <c r="H18" t="s">
        <v>121</v>
      </c>
      <c r="I18">
        <f t="shared" si="10"/>
        <v>16</v>
      </c>
      <c r="J18" t="str">
        <f t="shared" si="9"/>
        <v>E53_G16</v>
      </c>
    </row>
    <row r="19" ht="13.800000000000001">
      <c r="A19">
        <v>1528675</v>
      </c>
      <c r="B19" t="s">
        <v>609</v>
      </c>
      <c r="C19" t="s">
        <v>610</v>
      </c>
      <c r="D19" t="s">
        <v>611</v>
      </c>
      <c r="E19" t="s">
        <v>612</v>
      </c>
      <c r="F19" t="s">
        <v>609</v>
      </c>
      <c r="G19" t="s">
        <v>610</v>
      </c>
      <c r="H19" t="s">
        <v>611</v>
      </c>
      <c r="I19">
        <f t="shared" si="10"/>
        <v>17</v>
      </c>
      <c r="J19" t="str">
        <f t="shared" si="9"/>
        <v>E53_G17</v>
      </c>
    </row>
    <row r="20" ht="13.800000000000001">
      <c r="A20">
        <v>3181928</v>
      </c>
      <c r="B20" t="s">
        <v>498</v>
      </c>
      <c r="C20" t="s">
        <v>613</v>
      </c>
      <c r="D20" t="s">
        <v>614</v>
      </c>
      <c r="E20" t="s">
        <v>615</v>
      </c>
      <c r="F20" t="s">
        <v>498</v>
      </c>
      <c r="G20" t="s">
        <v>613</v>
      </c>
      <c r="H20" t="s">
        <v>614</v>
      </c>
      <c r="I20">
        <f t="shared" si="10"/>
        <v>18</v>
      </c>
      <c r="J20" t="str">
        <f t="shared" si="9"/>
        <v>E53_G18</v>
      </c>
    </row>
    <row r="21" ht="13.800000000000001">
      <c r="A21">
        <v>2946447</v>
      </c>
      <c r="B21" t="s">
        <v>123</v>
      </c>
      <c r="C21" t="s">
        <v>602</v>
      </c>
      <c r="D21" t="s">
        <v>123</v>
      </c>
      <c r="E21" t="s">
        <v>616</v>
      </c>
      <c r="F21" t="s">
        <v>123</v>
      </c>
      <c r="G21" t="s">
        <v>602</v>
      </c>
      <c r="H21" t="s">
        <v>123</v>
      </c>
      <c r="I21">
        <f t="shared" si="10"/>
        <v>19</v>
      </c>
      <c r="J21" t="str">
        <f t="shared" si="9"/>
        <v>E53_G19</v>
      </c>
    </row>
    <row r="22" ht="13.800000000000001">
      <c r="A22">
        <v>4930956</v>
      </c>
      <c r="B22" t="s">
        <v>125</v>
      </c>
      <c r="C22" t="s">
        <v>581</v>
      </c>
      <c r="D22" t="s">
        <v>125</v>
      </c>
      <c r="E22" t="s">
        <v>617</v>
      </c>
      <c r="F22" t="s">
        <v>125</v>
      </c>
      <c r="G22" t="s">
        <v>581</v>
      </c>
      <c r="H22" t="s">
        <v>125</v>
      </c>
      <c r="I22">
        <f t="shared" si="10"/>
        <v>20</v>
      </c>
      <c r="J22" t="str">
        <f t="shared" si="9"/>
        <v>E53_G20</v>
      </c>
    </row>
    <row r="23" ht="13.800000000000001">
      <c r="A23">
        <v>5147968</v>
      </c>
      <c r="B23" t="s">
        <v>618</v>
      </c>
      <c r="C23" t="s">
        <v>581</v>
      </c>
      <c r="D23" t="s">
        <v>618</v>
      </c>
      <c r="E23" t="s">
        <v>619</v>
      </c>
      <c r="F23" t="s">
        <v>618</v>
      </c>
      <c r="G23" t="s">
        <v>581</v>
      </c>
      <c r="H23" t="s">
        <v>618</v>
      </c>
      <c r="I23">
        <f t="shared" si="10"/>
        <v>21</v>
      </c>
      <c r="J23" t="str">
        <f t="shared" si="9"/>
        <v>E53_G21</v>
      </c>
    </row>
    <row r="24" ht="13.800000000000001">
      <c r="A24">
        <v>683844</v>
      </c>
      <c r="B24" t="s">
        <v>620</v>
      </c>
      <c r="C24" t="s">
        <v>621</v>
      </c>
      <c r="D24" t="s">
        <v>622</v>
      </c>
      <c r="E24" t="s">
        <v>623</v>
      </c>
      <c r="F24" t="s">
        <v>624</v>
      </c>
      <c r="G24" t="s">
        <v>621</v>
      </c>
      <c r="H24" t="s">
        <v>624</v>
      </c>
      <c r="I24">
        <f t="shared" si="10"/>
        <v>22</v>
      </c>
      <c r="J24" t="str">
        <f t="shared" si="9"/>
        <v>E53_G22</v>
      </c>
    </row>
    <row r="25" ht="13.800000000000001">
      <c r="A25">
        <v>3060972</v>
      </c>
      <c r="B25" t="s">
        <v>129</v>
      </c>
      <c r="C25" t="s">
        <v>583</v>
      </c>
      <c r="D25" t="s">
        <v>625</v>
      </c>
      <c r="E25" t="s">
        <v>626</v>
      </c>
      <c r="F25" t="s">
        <v>129</v>
      </c>
      <c r="G25" t="s">
        <v>583</v>
      </c>
      <c r="H25" t="s">
        <v>625</v>
      </c>
      <c r="I25">
        <f t="shared" si="10"/>
        <v>23</v>
      </c>
      <c r="J25" t="str">
        <f t="shared" si="9"/>
        <v>E53_G23</v>
      </c>
    </row>
    <row r="26" ht="13.800000000000001">
      <c r="A26">
        <v>2944388</v>
      </c>
      <c r="B26" t="s">
        <v>448</v>
      </c>
      <c r="C26" t="s">
        <v>602</v>
      </c>
      <c r="D26" t="s">
        <v>627</v>
      </c>
      <c r="E26" t="s">
        <v>628</v>
      </c>
      <c r="F26" t="s">
        <v>448</v>
      </c>
      <c r="G26" t="s">
        <v>602</v>
      </c>
      <c r="H26" t="s">
        <v>627</v>
      </c>
      <c r="I26">
        <f t="shared" si="10"/>
        <v>24</v>
      </c>
      <c r="J26" t="str">
        <f t="shared" si="9"/>
        <v>E53_G24</v>
      </c>
    </row>
    <row r="27" ht="13.800000000000001">
      <c r="A27">
        <v>3078610</v>
      </c>
      <c r="B27" t="s">
        <v>496</v>
      </c>
      <c r="C27" t="s">
        <v>629</v>
      </c>
      <c r="D27" t="s">
        <v>496</v>
      </c>
      <c r="E27" t="s">
        <v>630</v>
      </c>
      <c r="F27" t="s">
        <v>496</v>
      </c>
      <c r="G27" t="s">
        <v>631</v>
      </c>
      <c r="H27" t="s">
        <v>496</v>
      </c>
      <c r="I27">
        <f t="shared" si="10"/>
        <v>25</v>
      </c>
      <c r="J27" t="str">
        <f t="shared" si="9"/>
        <v>E53_G25</v>
      </c>
    </row>
    <row r="28" ht="13.800000000000001">
      <c r="A28">
        <v>2719111</v>
      </c>
      <c r="B28" t="s">
        <v>131</v>
      </c>
      <c r="C28" t="s">
        <v>632</v>
      </c>
      <c r="D28" t="s">
        <v>131</v>
      </c>
      <c r="E28" t="s">
        <v>633</v>
      </c>
      <c r="F28" t="s">
        <v>131</v>
      </c>
      <c r="G28" t="s">
        <v>632</v>
      </c>
      <c r="H28" t="s">
        <v>131</v>
      </c>
      <c r="I28">
        <f t="shared" si="10"/>
        <v>26</v>
      </c>
      <c r="J28" t="str">
        <f t="shared" si="9"/>
        <v>E53_G26</v>
      </c>
    </row>
    <row r="29" ht="13.800000000000001">
      <c r="A29">
        <v>5110302</v>
      </c>
      <c r="B29" t="s">
        <v>634</v>
      </c>
      <c r="C29" t="s">
        <v>581</v>
      </c>
      <c r="D29" t="s">
        <v>634</v>
      </c>
      <c r="E29" t="s">
        <v>635</v>
      </c>
      <c r="F29" t="s">
        <v>634</v>
      </c>
      <c r="G29" t="s">
        <v>581</v>
      </c>
      <c r="H29" t="s">
        <v>634</v>
      </c>
      <c r="I29">
        <f t="shared" si="10"/>
        <v>27</v>
      </c>
      <c r="J29" t="str">
        <f t="shared" si="9"/>
        <v>E53_G27</v>
      </c>
    </row>
    <row r="30" ht="13.800000000000001">
      <c r="A30">
        <v>2800866</v>
      </c>
      <c r="B30" t="s">
        <v>636</v>
      </c>
      <c r="C30" t="s">
        <v>637</v>
      </c>
      <c r="D30" t="s">
        <v>638</v>
      </c>
      <c r="E30" t="s">
        <v>639</v>
      </c>
      <c r="F30" t="s">
        <v>640</v>
      </c>
      <c r="G30" t="s">
        <v>637</v>
      </c>
      <c r="H30" t="s">
        <v>638</v>
      </c>
      <c r="I30">
        <f t="shared" si="10"/>
        <v>28</v>
      </c>
      <c r="J30" t="str">
        <f t="shared" si="9"/>
        <v>E53_G28</v>
      </c>
    </row>
    <row r="31" ht="13.800000000000001">
      <c r="A31">
        <v>683506</v>
      </c>
      <c r="B31" t="s">
        <v>641</v>
      </c>
      <c r="C31" t="s">
        <v>621</v>
      </c>
      <c r="D31" t="s">
        <v>642</v>
      </c>
      <c r="E31" t="s">
        <v>643</v>
      </c>
      <c r="F31" t="s">
        <v>641</v>
      </c>
      <c r="G31" t="s">
        <v>621</v>
      </c>
      <c r="H31" t="s">
        <v>642</v>
      </c>
      <c r="I31">
        <f t="shared" si="10"/>
        <v>29</v>
      </c>
      <c r="J31" t="str">
        <f t="shared" si="9"/>
        <v>E53_G29</v>
      </c>
    </row>
    <row r="32" ht="13.800000000000001">
      <c r="A32">
        <v>3054643</v>
      </c>
      <c r="B32" t="s">
        <v>88</v>
      </c>
      <c r="C32" t="s">
        <v>644</v>
      </c>
      <c r="D32" t="s">
        <v>645</v>
      </c>
      <c r="E32" t="s">
        <v>646</v>
      </c>
      <c r="F32" t="s">
        <v>88</v>
      </c>
      <c r="G32" t="s">
        <v>644</v>
      </c>
      <c r="H32" t="s">
        <v>645</v>
      </c>
      <c r="I32">
        <f t="shared" si="10"/>
        <v>30</v>
      </c>
      <c r="J32" t="str">
        <f t="shared" si="9"/>
        <v>E53_G30</v>
      </c>
    </row>
    <row r="33" ht="13.800000000000001">
      <c r="A33">
        <v>3435910</v>
      </c>
      <c r="B33" t="s">
        <v>44</v>
      </c>
      <c r="C33" t="s">
        <v>647</v>
      </c>
      <c r="D33" t="s">
        <v>44</v>
      </c>
      <c r="E33" t="s">
        <v>648</v>
      </c>
      <c r="F33" t="s">
        <v>44</v>
      </c>
      <c r="G33" t="s">
        <v>647</v>
      </c>
      <c r="H33" t="s">
        <v>44</v>
      </c>
      <c r="I33">
        <f t="shared" si="10"/>
        <v>31</v>
      </c>
      <c r="J33" t="str">
        <f t="shared" si="9"/>
        <v>E53_G31</v>
      </c>
    </row>
    <row r="34" ht="13.800000000000001">
      <c r="A34">
        <v>5911606</v>
      </c>
      <c r="B34" t="s">
        <v>393</v>
      </c>
      <c r="C34" t="s">
        <v>649</v>
      </c>
      <c r="D34" t="s">
        <v>393</v>
      </c>
      <c r="E34" t="s">
        <v>650</v>
      </c>
      <c r="F34" t="s">
        <v>393</v>
      </c>
      <c r="G34" t="s">
        <v>649</v>
      </c>
      <c r="H34" t="s">
        <v>393</v>
      </c>
      <c r="I34">
        <f t="shared" si="10"/>
        <v>32</v>
      </c>
      <c r="J34" t="str">
        <f t="shared" si="9"/>
        <v>E53_G32</v>
      </c>
    </row>
    <row r="35" ht="13.800000000000001">
      <c r="A35">
        <v>3102014</v>
      </c>
      <c r="B35" t="s">
        <v>136</v>
      </c>
      <c r="C35" t="s">
        <v>605</v>
      </c>
      <c r="D35" t="s">
        <v>136</v>
      </c>
      <c r="E35" t="s">
        <v>651</v>
      </c>
      <c r="F35" t="s">
        <v>136</v>
      </c>
      <c r="G35" t="s">
        <v>605</v>
      </c>
      <c r="H35" t="s">
        <v>136</v>
      </c>
      <c r="I35">
        <f t="shared" si="10"/>
        <v>33</v>
      </c>
      <c r="J35" t="str">
        <f t="shared" si="9"/>
        <v>E53_G33</v>
      </c>
    </row>
    <row r="36" ht="13.800000000000001">
      <c r="A36">
        <v>3101950</v>
      </c>
      <c r="B36" t="s">
        <v>370</v>
      </c>
      <c r="C36" t="s">
        <v>605</v>
      </c>
      <c r="D36" t="s">
        <v>370</v>
      </c>
      <c r="E36" t="s">
        <v>652</v>
      </c>
      <c r="F36" t="s">
        <v>370</v>
      </c>
      <c r="G36" t="s">
        <v>605</v>
      </c>
      <c r="H36" t="s">
        <v>370</v>
      </c>
      <c r="I36">
        <f t="shared" si="10"/>
        <v>34</v>
      </c>
      <c r="J36" t="str">
        <f t="shared" si="9"/>
        <v>E53_G34</v>
      </c>
    </row>
    <row r="37" ht="13.800000000000001">
      <c r="A37">
        <v>792078</v>
      </c>
      <c r="B37" t="s">
        <v>653</v>
      </c>
      <c r="C37" t="s">
        <v>599</v>
      </c>
      <c r="D37" t="s">
        <v>653</v>
      </c>
      <c r="E37" t="s">
        <v>654</v>
      </c>
      <c r="F37" t="s">
        <v>653</v>
      </c>
      <c r="G37" t="s">
        <v>599</v>
      </c>
      <c r="H37" t="s">
        <v>653</v>
      </c>
      <c r="I37">
        <f t="shared" si="10"/>
        <v>35</v>
      </c>
      <c r="J37" t="str">
        <f t="shared" si="9"/>
        <v>E53_G35</v>
      </c>
    </row>
    <row r="38" ht="13.800000000000001">
      <c r="A38">
        <v>2653941</v>
      </c>
      <c r="B38" t="s">
        <v>655</v>
      </c>
      <c r="C38" t="s">
        <v>589</v>
      </c>
      <c r="D38" t="s">
        <v>655</v>
      </c>
      <c r="E38" t="s">
        <v>656</v>
      </c>
      <c r="F38" t="s">
        <v>655</v>
      </c>
      <c r="G38" t="s">
        <v>589</v>
      </c>
      <c r="H38" t="s">
        <v>655</v>
      </c>
      <c r="I38">
        <f t="shared" si="10"/>
        <v>36</v>
      </c>
      <c r="J38" t="str">
        <f t="shared" si="9"/>
        <v>E53_G36</v>
      </c>
    </row>
    <row r="39" ht="13.800000000000001">
      <c r="A39">
        <v>3077882</v>
      </c>
      <c r="B39" t="s">
        <v>299</v>
      </c>
      <c r="C39" t="s">
        <v>629</v>
      </c>
      <c r="D39" t="s">
        <v>657</v>
      </c>
      <c r="E39" t="s">
        <v>658</v>
      </c>
      <c r="F39" t="s">
        <v>299</v>
      </c>
      <c r="G39" t="s">
        <v>631</v>
      </c>
      <c r="H39" t="s">
        <v>657</v>
      </c>
      <c r="I39">
        <f t="shared" si="10"/>
        <v>37</v>
      </c>
      <c r="J39" t="str">
        <f t="shared" si="9"/>
        <v>E53_G37</v>
      </c>
    </row>
    <row r="40" ht="13.800000000000001">
      <c r="A40">
        <v>4887158</v>
      </c>
      <c r="B40" t="s">
        <v>659</v>
      </c>
      <c r="C40" t="s">
        <v>581</v>
      </c>
      <c r="D40" t="s">
        <v>659</v>
      </c>
      <c r="E40" t="s">
        <v>660</v>
      </c>
      <c r="F40" t="s">
        <v>659</v>
      </c>
      <c r="G40" t="s">
        <v>581</v>
      </c>
      <c r="H40" t="s">
        <v>659</v>
      </c>
      <c r="I40">
        <f t="shared" si="10"/>
        <v>38</v>
      </c>
      <c r="J40" t="str">
        <f t="shared" si="9"/>
        <v>E53_G38</v>
      </c>
    </row>
    <row r="41" ht="13.800000000000001">
      <c r="A41">
        <v>2940132</v>
      </c>
      <c r="B41" t="s">
        <v>456</v>
      </c>
      <c r="C41" t="s">
        <v>602</v>
      </c>
      <c r="D41" t="s">
        <v>456</v>
      </c>
      <c r="E41" t="s">
        <v>661</v>
      </c>
      <c r="F41" t="s">
        <v>456</v>
      </c>
      <c r="G41" t="s">
        <v>602</v>
      </c>
      <c r="H41" t="s">
        <v>456</v>
      </c>
      <c r="I41">
        <f t="shared" si="10"/>
        <v>39</v>
      </c>
      <c r="J41" t="str">
        <f t="shared" si="9"/>
        <v>E53_G39</v>
      </c>
    </row>
    <row r="42" ht="13.800000000000001">
      <c r="A42">
        <v>4887398</v>
      </c>
      <c r="B42" t="s">
        <v>108</v>
      </c>
      <c r="C42" t="s">
        <v>581</v>
      </c>
      <c r="D42" t="s">
        <v>108</v>
      </c>
      <c r="E42" t="s">
        <v>662</v>
      </c>
      <c r="F42" t="s">
        <v>108</v>
      </c>
      <c r="G42" t="s">
        <v>581</v>
      </c>
      <c r="H42" t="s">
        <v>108</v>
      </c>
      <c r="I42">
        <f t="shared" si="10"/>
        <v>40</v>
      </c>
      <c r="J42" t="str">
        <f t="shared" si="9"/>
        <v>E53_G40</v>
      </c>
    </row>
    <row r="43" ht="13.800000000000001">
      <c r="A43">
        <v>2171395</v>
      </c>
      <c r="B43" t="s">
        <v>663</v>
      </c>
      <c r="C43" t="s">
        <v>664</v>
      </c>
      <c r="D43" t="s">
        <v>663</v>
      </c>
      <c r="E43" t="s">
        <v>665</v>
      </c>
      <c r="F43" t="s">
        <v>663</v>
      </c>
      <c r="G43" t="s">
        <v>664</v>
      </c>
      <c r="H43" t="s">
        <v>663</v>
      </c>
      <c r="I43">
        <f t="shared" si="10"/>
        <v>41</v>
      </c>
      <c r="J43" t="str">
        <f t="shared" si="9"/>
        <v>E53_G41</v>
      </c>
    </row>
    <row r="44" ht="13.800000000000001">
      <c r="A44">
        <v>681290</v>
      </c>
      <c r="B44" t="s">
        <v>666</v>
      </c>
      <c r="C44" t="s">
        <v>621</v>
      </c>
      <c r="D44" t="s">
        <v>667</v>
      </c>
      <c r="E44" t="s">
        <v>668</v>
      </c>
      <c r="F44" t="s">
        <v>666</v>
      </c>
      <c r="G44" t="s">
        <v>621</v>
      </c>
      <c r="H44" t="s">
        <v>667</v>
      </c>
      <c r="I44">
        <f t="shared" si="10"/>
        <v>42</v>
      </c>
      <c r="J44" t="str">
        <f t="shared" si="9"/>
        <v>E53_G42</v>
      </c>
    </row>
    <row r="45" ht="13.800000000000001">
      <c r="A45">
        <v>2886242</v>
      </c>
      <c r="B45" t="s">
        <v>669</v>
      </c>
      <c r="C45" t="s">
        <v>602</v>
      </c>
      <c r="D45" t="s">
        <v>670</v>
      </c>
      <c r="E45" t="s">
        <v>671</v>
      </c>
      <c r="F45" t="s">
        <v>669</v>
      </c>
      <c r="G45" t="s">
        <v>602</v>
      </c>
      <c r="H45" t="s">
        <v>670</v>
      </c>
      <c r="I45">
        <f t="shared" si="10"/>
        <v>43</v>
      </c>
      <c r="J45" t="str">
        <f t="shared" si="9"/>
        <v>E53_G43</v>
      </c>
    </row>
    <row r="46" ht="13.800000000000001">
      <c r="A46">
        <v>4381982</v>
      </c>
      <c r="B46" t="s">
        <v>672</v>
      </c>
      <c r="C46" t="s">
        <v>581</v>
      </c>
      <c r="D46" t="s">
        <v>672</v>
      </c>
      <c r="E46" t="s">
        <v>673</v>
      </c>
      <c r="F46" t="s">
        <v>672</v>
      </c>
      <c r="G46" t="s">
        <v>581</v>
      </c>
      <c r="H46" t="s">
        <v>672</v>
      </c>
      <c r="I46">
        <f t="shared" si="10"/>
        <v>44</v>
      </c>
      <c r="J46" t="str">
        <f t="shared" si="9"/>
        <v>E53_G44</v>
      </c>
    </row>
    <row r="47" ht="13.800000000000001">
      <c r="A47">
        <v>2939811</v>
      </c>
      <c r="B47" t="s">
        <v>402</v>
      </c>
      <c r="C47" t="s">
        <v>602</v>
      </c>
      <c r="D47" t="s">
        <v>674</v>
      </c>
      <c r="E47" t="s">
        <v>675</v>
      </c>
      <c r="F47" t="s">
        <v>402</v>
      </c>
      <c r="G47" t="s">
        <v>602</v>
      </c>
      <c r="H47" t="s">
        <v>674</v>
      </c>
      <c r="I47">
        <f t="shared" si="10"/>
        <v>45</v>
      </c>
      <c r="J47" t="str">
        <f t="shared" si="9"/>
        <v>E53_G45</v>
      </c>
    </row>
    <row r="48" ht="13.800000000000001">
      <c r="A48">
        <v>2938913</v>
      </c>
      <c r="B48" t="s">
        <v>139</v>
      </c>
      <c r="C48" t="s">
        <v>602</v>
      </c>
      <c r="D48" t="s">
        <v>139</v>
      </c>
      <c r="E48" t="s">
        <v>676</v>
      </c>
      <c r="F48" t="s">
        <v>139</v>
      </c>
      <c r="G48" t="s">
        <v>602</v>
      </c>
      <c r="H48" t="s">
        <v>139</v>
      </c>
      <c r="I48">
        <f t="shared" si="10"/>
        <v>46</v>
      </c>
      <c r="J48" t="str">
        <f t="shared" si="9"/>
        <v>E53_G46</v>
      </c>
    </row>
    <row r="49" ht="13.800000000000001">
      <c r="A49">
        <v>721472</v>
      </c>
      <c r="B49" t="s">
        <v>75</v>
      </c>
      <c r="C49" t="s">
        <v>644</v>
      </c>
      <c r="D49" t="s">
        <v>677</v>
      </c>
      <c r="E49" t="s">
        <v>678</v>
      </c>
      <c r="F49" t="s">
        <v>75</v>
      </c>
      <c r="G49" t="s">
        <v>644</v>
      </c>
      <c r="H49" t="s">
        <v>677</v>
      </c>
      <c r="I49">
        <f t="shared" si="10"/>
        <v>47</v>
      </c>
      <c r="J49" t="str">
        <f t="shared" si="9"/>
        <v>E53_G47</v>
      </c>
    </row>
    <row r="50" ht="13.800000000000001">
      <c r="A50">
        <v>4990729</v>
      </c>
      <c r="B50" t="s">
        <v>679</v>
      </c>
      <c r="C50" t="s">
        <v>581</v>
      </c>
      <c r="D50" t="s">
        <v>679</v>
      </c>
      <c r="E50" t="s">
        <v>680</v>
      </c>
      <c r="F50" t="s">
        <v>679</v>
      </c>
      <c r="G50" t="s">
        <v>581</v>
      </c>
      <c r="H50" t="s">
        <v>679</v>
      </c>
      <c r="I50">
        <f t="shared" si="10"/>
        <v>48</v>
      </c>
      <c r="J50" t="str">
        <f t="shared" si="9"/>
        <v>E53_G48</v>
      </c>
    </row>
    <row r="51" ht="13.800000000000001">
      <c r="A51">
        <v>709930</v>
      </c>
      <c r="B51" t="s">
        <v>681</v>
      </c>
      <c r="C51" t="s">
        <v>682</v>
      </c>
      <c r="D51" t="s">
        <v>683</v>
      </c>
      <c r="E51" t="s">
        <v>684</v>
      </c>
      <c r="F51" t="s">
        <v>681</v>
      </c>
      <c r="G51" t="s">
        <v>682</v>
      </c>
      <c r="H51" t="s">
        <v>683</v>
      </c>
      <c r="I51">
        <f t="shared" si="10"/>
        <v>49</v>
      </c>
      <c r="J51" t="str">
        <f t="shared" si="9"/>
        <v>E53_G49</v>
      </c>
    </row>
    <row r="52" ht="13.800000000000001">
      <c r="A52">
        <v>709717</v>
      </c>
      <c r="B52" t="s">
        <v>685</v>
      </c>
      <c r="C52" t="s">
        <v>682</v>
      </c>
      <c r="D52" t="s">
        <v>686</v>
      </c>
      <c r="E52" t="s">
        <v>687</v>
      </c>
      <c r="F52" t="s">
        <v>685</v>
      </c>
      <c r="G52" t="s">
        <v>682</v>
      </c>
      <c r="H52" t="s">
        <v>686</v>
      </c>
      <c r="I52">
        <f t="shared" si="10"/>
        <v>50</v>
      </c>
      <c r="J52" t="str">
        <f t="shared" si="9"/>
        <v>E53_G50</v>
      </c>
    </row>
    <row r="53" ht="13.800000000000001">
      <c r="A53">
        <v>2756669</v>
      </c>
      <c r="B53" t="s">
        <v>688</v>
      </c>
      <c r="C53" t="s">
        <v>565</v>
      </c>
      <c r="D53" t="s">
        <v>688</v>
      </c>
      <c r="E53" t="s">
        <v>689</v>
      </c>
      <c r="F53" t="s">
        <v>688</v>
      </c>
      <c r="G53" t="s">
        <v>567</v>
      </c>
      <c r="H53" t="s">
        <v>688</v>
      </c>
      <c r="I53">
        <f t="shared" si="10"/>
        <v>51</v>
      </c>
      <c r="J53" t="str">
        <f t="shared" si="9"/>
        <v>E53_G51</v>
      </c>
    </row>
    <row r="54" ht="13.800000000000001">
      <c r="A54">
        <v>2935517</v>
      </c>
      <c r="B54" t="s">
        <v>377</v>
      </c>
      <c r="C54" t="s">
        <v>602</v>
      </c>
      <c r="D54" t="s">
        <v>377</v>
      </c>
      <c r="E54" t="s">
        <v>690</v>
      </c>
      <c r="F54" t="s">
        <v>377</v>
      </c>
      <c r="G54" t="s">
        <v>602</v>
      </c>
      <c r="H54" t="s">
        <v>377</v>
      </c>
      <c r="I54">
        <f t="shared" si="10"/>
        <v>52</v>
      </c>
      <c r="J54" t="str">
        <f t="shared" si="9"/>
        <v>E53_G52</v>
      </c>
    </row>
    <row r="55" ht="13.800000000000001">
      <c r="A55">
        <v>2935022</v>
      </c>
      <c r="B55" t="s">
        <v>78</v>
      </c>
      <c r="C55" t="s">
        <v>602</v>
      </c>
      <c r="D55" t="s">
        <v>691</v>
      </c>
      <c r="E55" t="s">
        <v>692</v>
      </c>
      <c r="F55" t="s">
        <v>78</v>
      </c>
      <c r="G55" t="s">
        <v>602</v>
      </c>
      <c r="H55" t="s">
        <v>691</v>
      </c>
      <c r="I55">
        <f t="shared" si="10"/>
        <v>53</v>
      </c>
      <c r="J55" t="str">
        <f t="shared" si="9"/>
        <v>E53_G53</v>
      </c>
    </row>
    <row r="56" ht="13.800000000000001">
      <c r="A56">
        <v>2934486</v>
      </c>
      <c r="B56" t="s">
        <v>693</v>
      </c>
      <c r="C56" t="s">
        <v>602</v>
      </c>
      <c r="D56" t="s">
        <v>693</v>
      </c>
      <c r="E56" t="s">
        <v>694</v>
      </c>
      <c r="F56" t="s">
        <v>693</v>
      </c>
      <c r="G56" t="s">
        <v>602</v>
      </c>
      <c r="H56" t="s">
        <v>693</v>
      </c>
      <c r="I56">
        <f t="shared" si="10"/>
        <v>54</v>
      </c>
      <c r="J56" t="str">
        <f t="shared" si="9"/>
        <v>E53_G54</v>
      </c>
    </row>
    <row r="57" ht="13.800000000000001">
      <c r="A57">
        <v>1221874</v>
      </c>
      <c r="B57" t="s">
        <v>695</v>
      </c>
      <c r="C57" t="s">
        <v>696</v>
      </c>
      <c r="D57" t="s">
        <v>697</v>
      </c>
      <c r="E57" t="s">
        <v>698</v>
      </c>
      <c r="F57" t="s">
        <v>695</v>
      </c>
      <c r="G57" t="s">
        <v>696</v>
      </c>
      <c r="H57" t="s">
        <v>697</v>
      </c>
      <c r="I57">
        <f t="shared" si="10"/>
        <v>55</v>
      </c>
      <c r="J57" t="str">
        <f t="shared" si="9"/>
        <v>E53_G55</v>
      </c>
    </row>
    <row r="58" ht="13.800000000000001">
      <c r="A58">
        <v>2934246</v>
      </c>
      <c r="B58" t="s">
        <v>387</v>
      </c>
      <c r="C58" t="s">
        <v>602</v>
      </c>
      <c r="D58" t="s">
        <v>387</v>
      </c>
      <c r="E58" t="s">
        <v>699</v>
      </c>
      <c r="F58" t="s">
        <v>387</v>
      </c>
      <c r="G58" t="s">
        <v>602</v>
      </c>
      <c r="H58" t="s">
        <v>387</v>
      </c>
      <c r="I58">
        <f t="shared" si="10"/>
        <v>56</v>
      </c>
      <c r="J58" t="str">
        <f t="shared" si="9"/>
        <v>E53_G56</v>
      </c>
    </row>
    <row r="59" ht="13.800000000000001">
      <c r="A59">
        <v>5097677</v>
      </c>
      <c r="B59" t="s">
        <v>700</v>
      </c>
      <c r="C59" t="s">
        <v>581</v>
      </c>
      <c r="D59" t="s">
        <v>700</v>
      </c>
      <c r="E59" t="s">
        <v>701</v>
      </c>
      <c r="F59" t="s">
        <v>700</v>
      </c>
      <c r="G59" t="s">
        <v>581</v>
      </c>
      <c r="H59" t="s">
        <v>700</v>
      </c>
      <c r="I59">
        <f t="shared" si="10"/>
        <v>57</v>
      </c>
      <c r="J59" t="str">
        <f t="shared" si="9"/>
        <v>E53_G57</v>
      </c>
    </row>
    <row r="60" ht="13.800000000000001">
      <c r="A60">
        <v>2929670</v>
      </c>
      <c r="B60" t="s">
        <v>381</v>
      </c>
      <c r="C60" t="s">
        <v>602</v>
      </c>
      <c r="D60" t="s">
        <v>381</v>
      </c>
      <c r="E60" t="s">
        <v>702</v>
      </c>
      <c r="F60" t="s">
        <v>381</v>
      </c>
      <c r="G60" t="s">
        <v>602</v>
      </c>
      <c r="H60" t="s">
        <v>381</v>
      </c>
      <c r="I60">
        <f t="shared" si="10"/>
        <v>58</v>
      </c>
      <c r="J60" t="str">
        <f t="shared" si="9"/>
        <v>E53_G58</v>
      </c>
    </row>
    <row r="61" ht="13.800000000000001">
      <c r="A61">
        <v>2928810</v>
      </c>
      <c r="B61" t="s">
        <v>16</v>
      </c>
      <c r="C61" t="s">
        <v>602</v>
      </c>
      <c r="D61" t="s">
        <v>16</v>
      </c>
      <c r="E61" t="s">
        <v>703</v>
      </c>
      <c r="F61" t="s">
        <v>16</v>
      </c>
      <c r="G61" t="s">
        <v>602</v>
      </c>
      <c r="H61" t="s">
        <v>16</v>
      </c>
      <c r="I61">
        <f t="shared" si="10"/>
        <v>59</v>
      </c>
      <c r="J61" t="str">
        <f t="shared" si="9"/>
        <v>E53_G59</v>
      </c>
    </row>
    <row r="62" ht="13.800000000000001">
      <c r="A62">
        <v>4891382</v>
      </c>
      <c r="B62" t="s">
        <v>146</v>
      </c>
      <c r="C62" t="s">
        <v>581</v>
      </c>
      <c r="D62" t="s">
        <v>146</v>
      </c>
      <c r="E62" t="s">
        <v>704</v>
      </c>
      <c r="F62" t="s">
        <v>146</v>
      </c>
      <c r="G62" t="s">
        <v>581</v>
      </c>
      <c r="H62" t="s">
        <v>146</v>
      </c>
      <c r="I62">
        <f t="shared" si="10"/>
        <v>60</v>
      </c>
      <c r="J62" t="str">
        <f t="shared" si="9"/>
        <v>E53_G60</v>
      </c>
    </row>
    <row r="63" ht="13.800000000000001">
      <c r="A63">
        <v>6536398</v>
      </c>
      <c r="B63" t="s">
        <v>149</v>
      </c>
      <c r="C63" t="s">
        <v>613</v>
      </c>
      <c r="D63" t="s">
        <v>149</v>
      </c>
      <c r="E63" t="s">
        <v>705</v>
      </c>
      <c r="F63" t="s">
        <v>149</v>
      </c>
      <c r="G63" t="s">
        <v>613</v>
      </c>
      <c r="H63" t="s">
        <v>149</v>
      </c>
      <c r="I63">
        <f t="shared" si="10"/>
        <v>61</v>
      </c>
      <c r="J63" t="str">
        <f t="shared" si="9"/>
        <v>E53_G61</v>
      </c>
    </row>
    <row r="64" ht="13.800000000000001">
      <c r="A64">
        <v>4758390</v>
      </c>
      <c r="B64" t="s">
        <v>706</v>
      </c>
      <c r="C64" t="s">
        <v>581</v>
      </c>
      <c r="D64" t="s">
        <v>706</v>
      </c>
      <c r="E64" t="s">
        <v>707</v>
      </c>
      <c r="F64" t="s">
        <v>706</v>
      </c>
      <c r="G64" t="s">
        <v>581</v>
      </c>
      <c r="H64" t="s">
        <v>706</v>
      </c>
      <c r="I64">
        <f t="shared" si="10"/>
        <v>62</v>
      </c>
      <c r="J64" t="str">
        <f t="shared" si="9"/>
        <v>E53_G62</v>
      </c>
    </row>
    <row r="65" ht="13.800000000000001">
      <c r="A65">
        <v>6323121</v>
      </c>
      <c r="B65" t="s">
        <v>545</v>
      </c>
      <c r="C65" t="s">
        <v>708</v>
      </c>
      <c r="D65" t="s">
        <v>545</v>
      </c>
      <c r="E65" t="s">
        <v>709</v>
      </c>
      <c r="F65" t="s">
        <v>545</v>
      </c>
      <c r="G65" t="s">
        <v>708</v>
      </c>
      <c r="H65" t="s">
        <v>545</v>
      </c>
      <c r="I65">
        <f t="shared" si="10"/>
        <v>63</v>
      </c>
      <c r="J65" t="str">
        <f t="shared" si="9"/>
        <v>E53_G63</v>
      </c>
    </row>
    <row r="66" ht="13.800000000000001">
      <c r="A66">
        <v>2925535</v>
      </c>
      <c r="B66" t="s">
        <v>710</v>
      </c>
      <c r="C66" t="s">
        <v>602</v>
      </c>
      <c r="D66" t="s">
        <v>711</v>
      </c>
      <c r="E66" t="s">
        <v>712</v>
      </c>
      <c r="F66" t="s">
        <v>713</v>
      </c>
      <c r="G66" t="s">
        <v>602</v>
      </c>
      <c r="H66" t="s">
        <v>711</v>
      </c>
      <c r="I66">
        <f t="shared" si="10"/>
        <v>64</v>
      </c>
      <c r="J66" t="str">
        <f t="shared" si="9"/>
        <v>E53_G64</v>
      </c>
    </row>
    <row r="67" ht="13.800000000000001">
      <c r="A67">
        <v>2925533</v>
      </c>
      <c r="B67" t="s">
        <v>714</v>
      </c>
      <c r="C67" t="s">
        <v>602</v>
      </c>
      <c r="D67" t="s">
        <v>715</v>
      </c>
      <c r="E67" t="s">
        <v>716</v>
      </c>
      <c r="F67" t="s">
        <v>710</v>
      </c>
      <c r="G67" t="s">
        <v>602</v>
      </c>
      <c r="H67" t="s">
        <v>715</v>
      </c>
      <c r="I67">
        <f t="shared" si="10"/>
        <v>65</v>
      </c>
      <c r="J67" t="str">
        <f t="shared" si="9"/>
        <v>E53_G65</v>
      </c>
    </row>
    <row r="68" ht="13.800000000000001">
      <c r="A68">
        <v>2925177</v>
      </c>
      <c r="B68" t="s">
        <v>717</v>
      </c>
      <c r="C68" t="s">
        <v>602</v>
      </c>
      <c r="D68" t="s">
        <v>718</v>
      </c>
      <c r="E68" t="s">
        <v>719</v>
      </c>
      <c r="F68" t="s">
        <v>717</v>
      </c>
      <c r="G68" t="s">
        <v>602</v>
      </c>
      <c r="H68" t="s">
        <v>718</v>
      </c>
      <c r="I68">
        <f t="shared" si="10"/>
        <v>66</v>
      </c>
      <c r="J68" t="str">
        <f t="shared" si="9"/>
        <v>E53_G66</v>
      </c>
    </row>
    <row r="69" ht="13.800000000000001">
      <c r="A69">
        <v>3099434</v>
      </c>
      <c r="B69" t="s">
        <v>720</v>
      </c>
      <c r="C69" t="s">
        <v>605</v>
      </c>
      <c r="D69" t="s">
        <v>151</v>
      </c>
      <c r="E69" t="s">
        <v>721</v>
      </c>
      <c r="F69" t="s">
        <v>151</v>
      </c>
      <c r="G69" t="s">
        <v>605</v>
      </c>
      <c r="H69" t="s">
        <v>151</v>
      </c>
      <c r="I69">
        <f t="shared" si="10"/>
        <v>67</v>
      </c>
      <c r="J69" t="str">
        <f t="shared" si="9"/>
        <v>E53_G67</v>
      </c>
    </row>
    <row r="70" ht="13.800000000000001">
      <c r="A70">
        <v>3099424</v>
      </c>
      <c r="B70" t="s">
        <v>339</v>
      </c>
      <c r="C70" t="s">
        <v>605</v>
      </c>
      <c r="D70" t="s">
        <v>339</v>
      </c>
      <c r="E70" t="s">
        <v>722</v>
      </c>
      <c r="F70" t="s">
        <v>339</v>
      </c>
      <c r="G70" t="s">
        <v>605</v>
      </c>
      <c r="H70" t="s">
        <v>339</v>
      </c>
      <c r="I70">
        <f t="shared" si="10"/>
        <v>68</v>
      </c>
      <c r="J70" t="str">
        <f t="shared" si="9"/>
        <v>E53_G68</v>
      </c>
    </row>
    <row r="71" ht="13.800000000000001">
      <c r="A71">
        <v>2921466</v>
      </c>
      <c r="B71" t="s">
        <v>153</v>
      </c>
      <c r="C71" t="s">
        <v>602</v>
      </c>
      <c r="D71" t="s">
        <v>153</v>
      </c>
      <c r="E71" t="s">
        <v>723</v>
      </c>
      <c r="F71" t="s">
        <v>153</v>
      </c>
      <c r="G71" t="s">
        <v>602</v>
      </c>
      <c r="H71" t="s">
        <v>153</v>
      </c>
      <c r="I71">
        <f t="shared" si="10"/>
        <v>69</v>
      </c>
      <c r="J71" t="str">
        <f t="shared" si="9"/>
        <v>E53_G69</v>
      </c>
    </row>
    <row r="72" ht="13.800000000000001">
      <c r="A72">
        <v>3099230</v>
      </c>
      <c r="B72" t="s">
        <v>155</v>
      </c>
      <c r="C72" t="s">
        <v>605</v>
      </c>
      <c r="D72" t="s">
        <v>155</v>
      </c>
      <c r="E72" t="s">
        <v>724</v>
      </c>
      <c r="F72" t="s">
        <v>155</v>
      </c>
      <c r="G72" t="s">
        <v>605</v>
      </c>
      <c r="H72" t="s">
        <v>155</v>
      </c>
      <c r="I72">
        <f t="shared" si="10"/>
        <v>70</v>
      </c>
      <c r="J72" t="str">
        <f t="shared" si="9"/>
        <v>E53_G70</v>
      </c>
    </row>
    <row r="73" ht="13.800000000000001">
      <c r="A73">
        <v>3099213</v>
      </c>
      <c r="B73" t="s">
        <v>357</v>
      </c>
      <c r="C73" t="s">
        <v>605</v>
      </c>
      <c r="D73" t="s">
        <v>357</v>
      </c>
      <c r="E73" t="s">
        <v>725</v>
      </c>
      <c r="F73" t="s">
        <v>357</v>
      </c>
      <c r="G73" t="s">
        <v>605</v>
      </c>
      <c r="H73" t="s">
        <v>357</v>
      </c>
      <c r="I73">
        <f t="shared" si="10"/>
        <v>71</v>
      </c>
      <c r="J73" t="str">
        <f t="shared" si="9"/>
        <v>E53_G71</v>
      </c>
    </row>
    <row r="74" ht="13.800000000000001">
      <c r="A74">
        <v>4258273</v>
      </c>
      <c r="B74" t="s">
        <v>726</v>
      </c>
      <c r="C74" t="s">
        <v>581</v>
      </c>
      <c r="D74" t="s">
        <v>726</v>
      </c>
      <c r="E74" t="s">
        <v>727</v>
      </c>
      <c r="F74" t="s">
        <v>726</v>
      </c>
      <c r="G74" t="s">
        <v>581</v>
      </c>
      <c r="H74" t="s">
        <v>726</v>
      </c>
      <c r="I74">
        <f t="shared" si="10"/>
        <v>72</v>
      </c>
      <c r="J74" t="str">
        <f t="shared" ref="J74:J99" si="11">_xlfn.CONCAT("E53_G",I74)</f>
        <v>E53_G72</v>
      </c>
    </row>
    <row r="75" ht="13.800000000000001">
      <c r="A75">
        <v>8063584</v>
      </c>
      <c r="B75" t="s">
        <v>728</v>
      </c>
      <c r="C75" t="s">
        <v>589</v>
      </c>
      <c r="D75" t="s">
        <v>728</v>
      </c>
      <c r="E75" t="s">
        <v>729</v>
      </c>
      <c r="F75" t="s">
        <v>728</v>
      </c>
      <c r="G75" t="s">
        <v>589</v>
      </c>
      <c r="H75" t="s">
        <v>728</v>
      </c>
      <c r="I75">
        <f t="shared" ref="I75:I100" si="12">I74+1</f>
        <v>73</v>
      </c>
      <c r="J75" t="str">
        <f t="shared" si="11"/>
        <v>E53_G73</v>
      </c>
    </row>
    <row r="76" ht="13.800000000000001">
      <c r="A76">
        <v>2912621</v>
      </c>
      <c r="B76" t="s">
        <v>450</v>
      </c>
      <c r="C76" t="s">
        <v>602</v>
      </c>
      <c r="D76" t="s">
        <v>450</v>
      </c>
      <c r="E76" t="s">
        <v>730</v>
      </c>
      <c r="F76" t="s">
        <v>450</v>
      </c>
      <c r="G76" t="s">
        <v>602</v>
      </c>
      <c r="H76" t="s">
        <v>450</v>
      </c>
      <c r="I76">
        <f t="shared" si="12"/>
        <v>74</v>
      </c>
      <c r="J76" t="str">
        <f t="shared" si="11"/>
        <v>E53_G74</v>
      </c>
    </row>
    <row r="77" ht="13.800000000000001">
      <c r="A77">
        <v>2911522</v>
      </c>
      <c r="B77" t="s">
        <v>385</v>
      </c>
      <c r="C77" t="s">
        <v>602</v>
      </c>
      <c r="D77" t="s">
        <v>385</v>
      </c>
      <c r="E77" t="s">
        <v>731</v>
      </c>
      <c r="F77" t="s">
        <v>732</v>
      </c>
      <c r="G77" t="s">
        <v>602</v>
      </c>
      <c r="H77" t="s">
        <v>385</v>
      </c>
      <c r="I77">
        <f t="shared" si="12"/>
        <v>75</v>
      </c>
      <c r="J77" t="str">
        <f t="shared" si="11"/>
        <v>E53_G75</v>
      </c>
    </row>
    <row r="78" ht="13.800000000000001">
      <c r="A78">
        <v>2911298</v>
      </c>
      <c r="B78" t="s">
        <v>159</v>
      </c>
      <c r="C78" t="s">
        <v>602</v>
      </c>
      <c r="D78" t="s">
        <v>159</v>
      </c>
      <c r="E78" t="s">
        <v>733</v>
      </c>
      <c r="F78" t="s">
        <v>159</v>
      </c>
      <c r="G78" t="s">
        <v>602</v>
      </c>
      <c r="H78" t="s">
        <v>159</v>
      </c>
      <c r="I78">
        <f t="shared" si="12"/>
        <v>76</v>
      </c>
      <c r="J78" t="str">
        <f t="shared" si="11"/>
        <v>E53_G76</v>
      </c>
    </row>
    <row r="79" ht="13.800000000000001">
      <c r="A79">
        <v>2190324</v>
      </c>
      <c r="B79" t="s">
        <v>734</v>
      </c>
      <c r="C79" t="s">
        <v>735</v>
      </c>
      <c r="D79" t="s">
        <v>734</v>
      </c>
      <c r="E79" t="s">
        <v>736</v>
      </c>
      <c r="F79" t="s">
        <v>734</v>
      </c>
      <c r="G79" t="s">
        <v>735</v>
      </c>
      <c r="H79" t="s">
        <v>734</v>
      </c>
      <c r="I79">
        <f t="shared" si="12"/>
        <v>77</v>
      </c>
      <c r="J79" t="str">
        <f t="shared" si="11"/>
        <v>E53_G77</v>
      </c>
    </row>
    <row r="80" ht="13.800000000000001">
      <c r="A80">
        <v>2910831</v>
      </c>
      <c r="B80" t="s">
        <v>439</v>
      </c>
      <c r="C80" t="s">
        <v>602</v>
      </c>
      <c r="D80" t="s">
        <v>737</v>
      </c>
      <c r="E80" t="s">
        <v>738</v>
      </c>
      <c r="F80" t="s">
        <v>439</v>
      </c>
      <c r="G80" t="s">
        <v>602</v>
      </c>
      <c r="H80" t="s">
        <v>737</v>
      </c>
      <c r="I80">
        <f t="shared" si="12"/>
        <v>78</v>
      </c>
      <c r="J80" t="str">
        <f t="shared" si="11"/>
        <v>E53_G78</v>
      </c>
    </row>
    <row r="81" ht="13.800000000000001">
      <c r="A81">
        <v>6951076</v>
      </c>
      <c r="B81" t="s">
        <v>163</v>
      </c>
      <c r="C81" t="s">
        <v>589</v>
      </c>
      <c r="D81" t="s">
        <v>163</v>
      </c>
      <c r="E81" t="s">
        <v>739</v>
      </c>
      <c r="F81" t="s">
        <v>163</v>
      </c>
      <c r="G81" t="s">
        <v>589</v>
      </c>
      <c r="H81" t="s">
        <v>163</v>
      </c>
      <c r="I81">
        <f t="shared" si="12"/>
        <v>79</v>
      </c>
      <c r="J81" t="str">
        <f t="shared" si="11"/>
        <v>E53_G79</v>
      </c>
    </row>
    <row r="82" ht="13.800000000000001">
      <c r="A82">
        <v>3553478</v>
      </c>
      <c r="B82" t="s">
        <v>740</v>
      </c>
      <c r="C82" t="s">
        <v>741</v>
      </c>
      <c r="D82" t="s">
        <v>742</v>
      </c>
      <c r="E82" t="s">
        <v>743</v>
      </c>
      <c r="F82" t="s">
        <v>740</v>
      </c>
      <c r="G82" t="s">
        <v>741</v>
      </c>
      <c r="H82" t="s">
        <v>742</v>
      </c>
      <c r="I82">
        <f t="shared" si="12"/>
        <v>80</v>
      </c>
      <c r="J82" t="str">
        <f t="shared" si="11"/>
        <v>E53_G80</v>
      </c>
    </row>
    <row r="83" ht="13.800000000000001">
      <c r="A83">
        <v>658225</v>
      </c>
      <c r="B83" t="s">
        <v>493</v>
      </c>
      <c r="C83" t="s">
        <v>744</v>
      </c>
      <c r="D83" t="s">
        <v>493</v>
      </c>
      <c r="E83" t="s">
        <v>745</v>
      </c>
      <c r="F83" t="s">
        <v>493</v>
      </c>
      <c r="G83" t="s">
        <v>744</v>
      </c>
      <c r="H83" t="s">
        <v>493</v>
      </c>
      <c r="I83">
        <f t="shared" si="12"/>
        <v>81</v>
      </c>
      <c r="J83" t="str">
        <f t="shared" si="11"/>
        <v>E53_G81</v>
      </c>
    </row>
    <row r="84" ht="13.800000000000001">
      <c r="A84">
        <v>627904</v>
      </c>
      <c r="B84" t="s">
        <v>746</v>
      </c>
      <c r="C84" t="s">
        <v>747</v>
      </c>
      <c r="D84" t="s">
        <v>354</v>
      </c>
      <c r="E84" t="s">
        <v>748</v>
      </c>
      <c r="F84" t="s">
        <v>746</v>
      </c>
      <c r="G84" t="s">
        <v>747</v>
      </c>
      <c r="H84" t="s">
        <v>354</v>
      </c>
      <c r="I84">
        <f t="shared" si="12"/>
        <v>82</v>
      </c>
      <c r="J84" t="str">
        <f t="shared" si="11"/>
        <v>E53_G82</v>
      </c>
    </row>
    <row r="85" ht="13.800000000000001">
      <c r="A85">
        <v>745044</v>
      </c>
      <c r="B85" t="s">
        <v>749</v>
      </c>
      <c r="C85" t="s">
        <v>750</v>
      </c>
      <c r="D85" t="s">
        <v>751</v>
      </c>
      <c r="E85" t="s">
        <v>752</v>
      </c>
      <c r="F85" t="s">
        <v>749</v>
      </c>
      <c r="G85" t="s">
        <v>753</v>
      </c>
      <c r="H85" t="s">
        <v>751</v>
      </c>
      <c r="I85">
        <f t="shared" si="12"/>
        <v>83</v>
      </c>
      <c r="J85" t="str">
        <f t="shared" si="11"/>
        <v>E53_G83</v>
      </c>
    </row>
    <row r="86" ht="13.800000000000001">
      <c r="A86">
        <v>5122432</v>
      </c>
      <c r="B86" t="s">
        <v>754</v>
      </c>
      <c r="C86" t="s">
        <v>581</v>
      </c>
      <c r="D86" t="s">
        <v>754</v>
      </c>
      <c r="E86" t="s">
        <v>755</v>
      </c>
      <c r="F86" t="s">
        <v>754</v>
      </c>
      <c r="G86" t="s">
        <v>581</v>
      </c>
      <c r="H86" t="s">
        <v>754</v>
      </c>
      <c r="I86">
        <f t="shared" si="12"/>
        <v>84</v>
      </c>
      <c r="J86" t="str">
        <f t="shared" si="11"/>
        <v>E53_G84</v>
      </c>
    </row>
    <row r="87" ht="13.800000000000001">
      <c r="A87">
        <v>281184</v>
      </c>
      <c r="B87" t="s">
        <v>536</v>
      </c>
      <c r="C87" t="s">
        <v>756</v>
      </c>
      <c r="D87" t="s">
        <v>757</v>
      </c>
      <c r="E87" t="s">
        <v>758</v>
      </c>
      <c r="F87" t="s">
        <v>536</v>
      </c>
      <c r="G87" t="s">
        <v>756</v>
      </c>
      <c r="H87" t="s">
        <v>757</v>
      </c>
      <c r="I87">
        <f t="shared" si="12"/>
        <v>85</v>
      </c>
      <c r="J87" t="str">
        <f t="shared" si="11"/>
        <v>E53_G85</v>
      </c>
    </row>
    <row r="88" ht="13.800000000000001">
      <c r="A88">
        <v>3074143</v>
      </c>
      <c r="B88" t="s">
        <v>167</v>
      </c>
      <c r="C88" t="s">
        <v>629</v>
      </c>
      <c r="D88" t="s">
        <v>167</v>
      </c>
      <c r="E88" t="s">
        <v>759</v>
      </c>
      <c r="F88" t="s">
        <v>167</v>
      </c>
      <c r="G88" t="s">
        <v>631</v>
      </c>
      <c r="H88" t="s">
        <v>167</v>
      </c>
      <c r="I88">
        <f t="shared" si="12"/>
        <v>86</v>
      </c>
      <c r="J88" t="str">
        <f t="shared" si="11"/>
        <v>E53_G86</v>
      </c>
    </row>
    <row r="89" ht="13.800000000000001">
      <c r="A89">
        <v>3096472</v>
      </c>
      <c r="B89" t="s">
        <v>169</v>
      </c>
      <c r="C89" t="s">
        <v>605</v>
      </c>
      <c r="D89" t="s">
        <v>169</v>
      </c>
      <c r="E89" t="s">
        <v>760</v>
      </c>
      <c r="F89" t="s">
        <v>169</v>
      </c>
      <c r="G89" t="s">
        <v>605</v>
      </c>
      <c r="H89" t="s">
        <v>169</v>
      </c>
      <c r="I89">
        <f t="shared" si="12"/>
        <v>87</v>
      </c>
      <c r="J89" t="str">
        <f t="shared" si="11"/>
        <v>E53_G87</v>
      </c>
    </row>
    <row r="90" ht="13.800000000000001">
      <c r="A90">
        <v>598316</v>
      </c>
      <c r="B90" t="s">
        <v>171</v>
      </c>
      <c r="C90" t="s">
        <v>761</v>
      </c>
      <c r="D90" t="s">
        <v>762</v>
      </c>
      <c r="E90" t="s">
        <v>763</v>
      </c>
      <c r="F90" t="s">
        <v>171</v>
      </c>
      <c r="G90" t="s">
        <v>761</v>
      </c>
      <c r="H90" t="s">
        <v>762</v>
      </c>
      <c r="I90">
        <f t="shared" si="12"/>
        <v>88</v>
      </c>
      <c r="J90" t="str">
        <f t="shared" si="11"/>
        <v>E53_G88</v>
      </c>
    </row>
    <row r="91" ht="13.800000000000001">
      <c r="A91">
        <v>551487</v>
      </c>
      <c r="B91" t="s">
        <v>764</v>
      </c>
      <c r="C91" t="s">
        <v>563</v>
      </c>
      <c r="D91" t="s">
        <v>765</v>
      </c>
      <c r="E91" t="s">
        <v>766</v>
      </c>
      <c r="F91" t="s">
        <v>767</v>
      </c>
      <c r="G91" t="s">
        <v>563</v>
      </c>
      <c r="H91" t="s">
        <v>765</v>
      </c>
      <c r="I91">
        <f t="shared" si="12"/>
        <v>89</v>
      </c>
      <c r="J91" t="str">
        <f t="shared" si="11"/>
        <v>E53_G89</v>
      </c>
    </row>
    <row r="92" ht="13.800000000000001">
      <c r="A92">
        <v>706369</v>
      </c>
      <c r="B92" t="s">
        <v>768</v>
      </c>
      <c r="C92" t="s">
        <v>682</v>
      </c>
      <c r="D92" t="s">
        <v>769</v>
      </c>
      <c r="E92" t="s">
        <v>770</v>
      </c>
      <c r="F92" t="s">
        <v>768</v>
      </c>
      <c r="G92" t="s">
        <v>682</v>
      </c>
      <c r="H92" t="s">
        <v>771</v>
      </c>
      <c r="I92">
        <f t="shared" si="12"/>
        <v>90</v>
      </c>
      <c r="J92" t="str">
        <f t="shared" si="11"/>
        <v>E53_G90</v>
      </c>
    </row>
    <row r="93" ht="13.800000000000001">
      <c r="A93">
        <v>769250</v>
      </c>
      <c r="B93" t="s">
        <v>173</v>
      </c>
      <c r="C93" t="s">
        <v>605</v>
      </c>
      <c r="D93" t="s">
        <v>173</v>
      </c>
      <c r="E93" t="s">
        <v>772</v>
      </c>
      <c r="F93" t="s">
        <v>173</v>
      </c>
      <c r="G93" t="s">
        <v>605</v>
      </c>
      <c r="H93" t="s">
        <v>173</v>
      </c>
      <c r="I93">
        <f t="shared" si="12"/>
        <v>91</v>
      </c>
      <c r="J93" t="str">
        <f t="shared" si="11"/>
        <v>E53_G91</v>
      </c>
    </row>
    <row r="94" ht="13.800000000000001">
      <c r="A94">
        <v>5992500</v>
      </c>
      <c r="B94" t="s">
        <v>432</v>
      </c>
      <c r="C94" t="s">
        <v>649</v>
      </c>
      <c r="D94" t="s">
        <v>432</v>
      </c>
      <c r="E94" t="s">
        <v>773</v>
      </c>
      <c r="F94" t="s">
        <v>432</v>
      </c>
      <c r="G94" t="s">
        <v>649</v>
      </c>
      <c r="H94" t="s">
        <v>432</v>
      </c>
      <c r="I94">
        <f t="shared" si="12"/>
        <v>92</v>
      </c>
      <c r="J94" t="str">
        <f t="shared" si="11"/>
        <v>E53_G92</v>
      </c>
    </row>
    <row r="95" ht="13.800000000000001">
      <c r="A95">
        <v>8349299</v>
      </c>
      <c r="B95" t="s">
        <v>432</v>
      </c>
      <c r="C95" t="s">
        <v>664</v>
      </c>
      <c r="D95" t="s">
        <v>432</v>
      </c>
      <c r="E95" t="s">
        <v>774</v>
      </c>
      <c r="F95" t="s">
        <v>432</v>
      </c>
      <c r="G95" t="s">
        <v>664</v>
      </c>
      <c r="H95" t="s">
        <v>432</v>
      </c>
      <c r="I95">
        <f t="shared" si="12"/>
        <v>93</v>
      </c>
      <c r="J95" t="str">
        <f t="shared" si="11"/>
        <v>E53_G93</v>
      </c>
    </row>
    <row r="96" ht="13.800000000000001">
      <c r="A96">
        <v>768315</v>
      </c>
      <c r="B96" t="s">
        <v>175</v>
      </c>
      <c r="C96" t="s">
        <v>605</v>
      </c>
      <c r="D96" t="s">
        <v>175</v>
      </c>
      <c r="E96" t="s">
        <v>775</v>
      </c>
      <c r="F96" t="s">
        <v>175</v>
      </c>
      <c r="G96" t="s">
        <v>605</v>
      </c>
      <c r="H96" t="s">
        <v>175</v>
      </c>
      <c r="I96">
        <f t="shared" si="12"/>
        <v>94</v>
      </c>
      <c r="J96" t="str">
        <f t="shared" si="11"/>
        <v>E53_G94</v>
      </c>
    </row>
    <row r="97" ht="13.800000000000001">
      <c r="A97">
        <v>3095049</v>
      </c>
      <c r="B97" t="s">
        <v>348</v>
      </c>
      <c r="C97" t="s">
        <v>605</v>
      </c>
      <c r="D97" t="s">
        <v>348</v>
      </c>
      <c r="E97" t="s">
        <v>776</v>
      </c>
      <c r="F97" t="s">
        <v>348</v>
      </c>
      <c r="G97" t="s">
        <v>605</v>
      </c>
      <c r="H97" t="s">
        <v>348</v>
      </c>
      <c r="I97">
        <f t="shared" si="12"/>
        <v>95</v>
      </c>
      <c r="J97" t="str">
        <f t="shared" si="11"/>
        <v>E53_G95</v>
      </c>
    </row>
    <row r="98" ht="13.800000000000001">
      <c r="A98">
        <v>3094802</v>
      </c>
      <c r="B98" t="s">
        <v>777</v>
      </c>
      <c r="C98" t="s">
        <v>605</v>
      </c>
      <c r="D98" t="s">
        <v>507</v>
      </c>
      <c r="E98" t="s">
        <v>778</v>
      </c>
      <c r="F98" t="s">
        <v>507</v>
      </c>
      <c r="G98" t="s">
        <v>605</v>
      </c>
      <c r="H98" t="s">
        <v>507</v>
      </c>
      <c r="I98">
        <f t="shared" si="12"/>
        <v>96</v>
      </c>
      <c r="J98" t="str">
        <f t="shared" si="11"/>
        <v>E53_G96</v>
      </c>
    </row>
    <row r="99" ht="13.800000000000001">
      <c r="A99">
        <v>1502026</v>
      </c>
      <c r="B99" t="s">
        <v>779</v>
      </c>
      <c r="C99" t="s">
        <v>563</v>
      </c>
      <c r="D99" t="s">
        <v>779</v>
      </c>
      <c r="E99" t="s">
        <v>780</v>
      </c>
      <c r="F99" t="s">
        <v>779</v>
      </c>
      <c r="G99" t="s">
        <v>563</v>
      </c>
      <c r="H99" t="s">
        <v>781</v>
      </c>
      <c r="I99">
        <f t="shared" si="12"/>
        <v>97</v>
      </c>
      <c r="J99" t="str">
        <f t="shared" si="11"/>
        <v>E53_G97</v>
      </c>
    </row>
    <row r="100" ht="13.800000000000001">
      <c r="A100">
        <v>705812</v>
      </c>
      <c r="B100" t="s">
        <v>782</v>
      </c>
      <c r="C100" t="s">
        <v>682</v>
      </c>
      <c r="D100" t="s">
        <v>783</v>
      </c>
      <c r="E100" t="s">
        <v>784</v>
      </c>
      <c r="F100" t="s">
        <v>782</v>
      </c>
      <c r="G100" t="s">
        <v>682</v>
      </c>
      <c r="H100" t="s">
        <v>785</v>
      </c>
      <c r="I100">
        <f t="shared" si="12"/>
        <v>98</v>
      </c>
      <c r="J100" t="str">
        <f t="shared" ref="J100:J163" si="13">_xlfn.CONCAT("E53_G",I100)</f>
        <v>E53_G98</v>
      </c>
    </row>
    <row r="101" ht="13.800000000000001">
      <c r="A101">
        <v>767470</v>
      </c>
      <c r="B101" t="s">
        <v>786</v>
      </c>
      <c r="C101" t="s">
        <v>605</v>
      </c>
      <c r="D101" t="s">
        <v>786</v>
      </c>
      <c r="E101" t="s">
        <v>787</v>
      </c>
      <c r="F101" t="s">
        <v>786</v>
      </c>
      <c r="G101" t="s">
        <v>605</v>
      </c>
      <c r="H101" t="s">
        <v>786</v>
      </c>
      <c r="I101">
        <f t="shared" ref="I101:I164" si="14">I100+1</f>
        <v>99</v>
      </c>
      <c r="J101" t="str">
        <f t="shared" si="13"/>
        <v>E53_G99</v>
      </c>
    </row>
    <row r="102" ht="13.800000000000001">
      <c r="A102">
        <v>703448</v>
      </c>
      <c r="B102" t="s">
        <v>447</v>
      </c>
      <c r="C102" t="s">
        <v>682</v>
      </c>
      <c r="D102" t="s">
        <v>342</v>
      </c>
      <c r="E102" t="s">
        <v>788</v>
      </c>
      <c r="F102" t="s">
        <v>447</v>
      </c>
      <c r="G102" t="s">
        <v>682</v>
      </c>
      <c r="H102" t="s">
        <v>342</v>
      </c>
      <c r="I102">
        <f t="shared" si="14"/>
        <v>100</v>
      </c>
      <c r="J102" t="str">
        <f t="shared" si="13"/>
        <v>E53_G100</v>
      </c>
    </row>
    <row r="103" ht="13.800000000000001">
      <c r="A103">
        <v>2879139</v>
      </c>
      <c r="B103" t="s">
        <v>182</v>
      </c>
      <c r="C103" t="s">
        <v>602</v>
      </c>
      <c r="D103" t="s">
        <v>789</v>
      </c>
      <c r="E103" t="s">
        <v>790</v>
      </c>
      <c r="F103" t="s">
        <v>182</v>
      </c>
      <c r="G103" t="s">
        <v>602</v>
      </c>
      <c r="H103" t="s">
        <v>789</v>
      </c>
      <c r="I103">
        <f t="shared" si="14"/>
        <v>101</v>
      </c>
      <c r="J103" t="str">
        <f t="shared" si="13"/>
        <v>E53_G101</v>
      </c>
    </row>
    <row r="104" ht="13.800000000000001">
      <c r="A104">
        <v>535121</v>
      </c>
      <c r="B104" t="s">
        <v>791</v>
      </c>
      <c r="C104" t="s">
        <v>563</v>
      </c>
      <c r="D104" t="s">
        <v>792</v>
      </c>
      <c r="E104" t="s">
        <v>793</v>
      </c>
      <c r="F104" t="s">
        <v>791</v>
      </c>
      <c r="G104" t="s">
        <v>563</v>
      </c>
      <c r="H104" t="s">
        <v>792</v>
      </c>
      <c r="I104">
        <f t="shared" si="14"/>
        <v>102</v>
      </c>
      <c r="J104" t="str">
        <f t="shared" si="13"/>
        <v>E53_G102</v>
      </c>
    </row>
    <row r="105" ht="13.800000000000001">
      <c r="A105">
        <v>2267057</v>
      </c>
      <c r="B105" t="s">
        <v>794</v>
      </c>
      <c r="C105" t="s">
        <v>795</v>
      </c>
      <c r="D105" t="s">
        <v>796</v>
      </c>
      <c r="E105" t="s">
        <v>797</v>
      </c>
      <c r="F105" t="s">
        <v>794</v>
      </c>
      <c r="G105" t="s">
        <v>795</v>
      </c>
      <c r="H105" t="s">
        <v>796</v>
      </c>
      <c r="I105">
        <f t="shared" si="14"/>
        <v>103</v>
      </c>
      <c r="J105" t="str">
        <f t="shared" si="13"/>
        <v>E53_G103</v>
      </c>
    </row>
    <row r="106" ht="13.800000000000001">
      <c r="A106">
        <v>2644210</v>
      </c>
      <c r="B106" t="s">
        <v>34</v>
      </c>
      <c r="C106" t="s">
        <v>589</v>
      </c>
      <c r="D106" t="s">
        <v>34</v>
      </c>
      <c r="E106" t="s">
        <v>798</v>
      </c>
      <c r="F106" t="s">
        <v>34</v>
      </c>
      <c r="G106" t="s">
        <v>589</v>
      </c>
      <c r="H106" t="s">
        <v>34</v>
      </c>
      <c r="I106">
        <f t="shared" si="14"/>
        <v>104</v>
      </c>
      <c r="J106" t="str">
        <f t="shared" si="13"/>
        <v>E53_G104</v>
      </c>
    </row>
    <row r="107" ht="13.800000000000001">
      <c r="A107">
        <v>3196359</v>
      </c>
      <c r="B107" t="s">
        <v>38</v>
      </c>
      <c r="C107" t="s">
        <v>799</v>
      </c>
      <c r="D107" t="s">
        <v>800</v>
      </c>
      <c r="E107" t="s">
        <v>801</v>
      </c>
      <c r="F107" t="s">
        <v>38</v>
      </c>
      <c r="G107" t="s">
        <v>799</v>
      </c>
      <c r="H107" t="s">
        <v>800</v>
      </c>
      <c r="I107">
        <f t="shared" si="14"/>
        <v>105</v>
      </c>
      <c r="J107" t="str">
        <f t="shared" si="13"/>
        <v>E53_G105</v>
      </c>
    </row>
    <row r="108" ht="13.800000000000001">
      <c r="A108">
        <v>3093133</v>
      </c>
      <c r="B108" t="s">
        <v>802</v>
      </c>
      <c r="C108" t="s">
        <v>605</v>
      </c>
      <c r="D108" t="s">
        <v>301</v>
      </c>
      <c r="E108" t="s">
        <v>803</v>
      </c>
      <c r="F108" t="s">
        <v>301</v>
      </c>
      <c r="G108" t="s">
        <v>605</v>
      </c>
      <c r="H108" t="s">
        <v>301</v>
      </c>
      <c r="I108">
        <f t="shared" si="14"/>
        <v>106</v>
      </c>
      <c r="J108" t="str">
        <f t="shared" si="13"/>
        <v>E53_G106</v>
      </c>
    </row>
    <row r="109" ht="13.800000000000001">
      <c r="A109">
        <v>2643743</v>
      </c>
      <c r="B109" t="s">
        <v>343</v>
      </c>
      <c r="C109" t="s">
        <v>589</v>
      </c>
      <c r="D109" t="s">
        <v>804</v>
      </c>
      <c r="E109" t="s">
        <v>805</v>
      </c>
      <c r="F109" t="s">
        <v>343</v>
      </c>
      <c r="G109" t="s">
        <v>589</v>
      </c>
      <c r="H109" t="s">
        <v>804</v>
      </c>
      <c r="I109">
        <f t="shared" si="14"/>
        <v>107</v>
      </c>
      <c r="J109" t="str">
        <f t="shared" si="13"/>
        <v>E53_G107</v>
      </c>
    </row>
    <row r="110" ht="13.800000000000001">
      <c r="A110">
        <v>765876</v>
      </c>
      <c r="B110" t="s">
        <v>69</v>
      </c>
      <c r="C110" t="s">
        <v>605</v>
      </c>
      <c r="D110" t="s">
        <v>69</v>
      </c>
      <c r="E110" t="s">
        <v>806</v>
      </c>
      <c r="F110" t="s">
        <v>69</v>
      </c>
      <c r="G110" t="s">
        <v>605</v>
      </c>
      <c r="H110" t="s">
        <v>69</v>
      </c>
      <c r="I110">
        <f t="shared" si="14"/>
        <v>108</v>
      </c>
      <c r="J110" t="str">
        <f t="shared" si="13"/>
        <v>E53_G108</v>
      </c>
    </row>
    <row r="111" ht="13.800000000000001">
      <c r="A111">
        <v>702569</v>
      </c>
      <c r="B111" t="s">
        <v>807</v>
      </c>
      <c r="C111" t="s">
        <v>682</v>
      </c>
      <c r="D111" t="s">
        <v>808</v>
      </c>
      <c r="E111" t="s">
        <v>809</v>
      </c>
      <c r="F111" t="s">
        <v>807</v>
      </c>
      <c r="G111" t="s">
        <v>682</v>
      </c>
      <c r="H111" t="s">
        <v>808</v>
      </c>
      <c r="I111">
        <f t="shared" si="14"/>
        <v>109</v>
      </c>
      <c r="J111" t="str">
        <f t="shared" si="13"/>
        <v>E53_G109</v>
      </c>
    </row>
    <row r="112" ht="13.800000000000001">
      <c r="A112">
        <v>702550</v>
      </c>
      <c r="B112" t="s">
        <v>810</v>
      </c>
      <c r="C112" t="s">
        <v>682</v>
      </c>
      <c r="D112" t="s">
        <v>186</v>
      </c>
      <c r="E112" t="s">
        <v>811</v>
      </c>
      <c r="F112" t="s">
        <v>810</v>
      </c>
      <c r="G112" t="s">
        <v>682</v>
      </c>
      <c r="H112" t="s">
        <v>186</v>
      </c>
      <c r="I112">
        <f t="shared" si="14"/>
        <v>110</v>
      </c>
      <c r="J112" t="str">
        <f t="shared" si="13"/>
        <v>E53_G110</v>
      </c>
    </row>
    <row r="113" ht="13.800000000000001">
      <c r="A113">
        <v>3117735</v>
      </c>
      <c r="B113" t="s">
        <v>189</v>
      </c>
      <c r="C113" t="s">
        <v>586</v>
      </c>
      <c r="D113" t="s">
        <v>812</v>
      </c>
      <c r="E113" t="s">
        <v>813</v>
      </c>
      <c r="F113" t="s">
        <v>189</v>
      </c>
      <c r="G113" t="s">
        <v>586</v>
      </c>
      <c r="H113" t="s">
        <v>812</v>
      </c>
      <c r="I113">
        <f t="shared" si="14"/>
        <v>111</v>
      </c>
      <c r="J113" t="str">
        <f t="shared" si="13"/>
        <v>E53_G111</v>
      </c>
    </row>
    <row r="114" ht="13.800000000000001">
      <c r="A114">
        <v>2874225</v>
      </c>
      <c r="B114" t="s">
        <v>391</v>
      </c>
      <c r="C114" t="s">
        <v>602</v>
      </c>
      <c r="D114" t="s">
        <v>814</v>
      </c>
      <c r="E114" t="s">
        <v>815</v>
      </c>
      <c r="F114" t="s">
        <v>391</v>
      </c>
      <c r="G114" t="s">
        <v>602</v>
      </c>
      <c r="H114" t="s">
        <v>814</v>
      </c>
      <c r="I114">
        <f t="shared" si="14"/>
        <v>112</v>
      </c>
      <c r="J114" t="str">
        <f t="shared" si="13"/>
        <v>E53_G112</v>
      </c>
    </row>
    <row r="115" ht="13.800000000000001">
      <c r="A115">
        <v>2692969</v>
      </c>
      <c r="B115" t="s">
        <v>816</v>
      </c>
      <c r="C115" t="s">
        <v>632</v>
      </c>
      <c r="D115" t="s">
        <v>191</v>
      </c>
      <c r="E115" t="s">
        <v>817</v>
      </c>
      <c r="F115" t="s">
        <v>191</v>
      </c>
      <c r="G115" t="s">
        <v>632</v>
      </c>
      <c r="H115" t="s">
        <v>191</v>
      </c>
      <c r="I115">
        <f t="shared" si="14"/>
        <v>113</v>
      </c>
      <c r="J115" t="str">
        <f t="shared" si="13"/>
        <v>E53_G113</v>
      </c>
    </row>
    <row r="116" ht="13.800000000000001">
      <c r="A116">
        <v>2873759</v>
      </c>
      <c r="B116" t="s">
        <v>193</v>
      </c>
      <c r="C116" t="s">
        <v>602</v>
      </c>
      <c r="D116" t="s">
        <v>193</v>
      </c>
      <c r="E116" t="s">
        <v>818</v>
      </c>
      <c r="F116" t="s">
        <v>193</v>
      </c>
      <c r="G116" t="s">
        <v>602</v>
      </c>
      <c r="H116" t="s">
        <v>193</v>
      </c>
      <c r="I116">
        <f t="shared" si="14"/>
        <v>114</v>
      </c>
      <c r="J116" t="str">
        <f t="shared" si="13"/>
        <v>E53_G114</v>
      </c>
    </row>
    <row r="117" ht="13.800000000000001">
      <c r="A117">
        <v>3674962</v>
      </c>
      <c r="B117" t="s">
        <v>819</v>
      </c>
      <c r="C117" t="s">
        <v>820</v>
      </c>
      <c r="D117" t="s">
        <v>819</v>
      </c>
      <c r="E117" t="s">
        <v>821</v>
      </c>
      <c r="F117" t="s">
        <v>819</v>
      </c>
      <c r="G117" t="s">
        <v>820</v>
      </c>
      <c r="H117" t="s">
        <v>819</v>
      </c>
      <c r="I117">
        <f t="shared" si="14"/>
        <v>115</v>
      </c>
      <c r="J117" t="str">
        <f t="shared" si="13"/>
        <v>E53_G115</v>
      </c>
    </row>
    <row r="118" ht="13.800000000000001">
      <c r="A118">
        <v>2872126</v>
      </c>
      <c r="B118" t="s">
        <v>429</v>
      </c>
      <c r="C118" t="s">
        <v>602</v>
      </c>
      <c r="D118" t="s">
        <v>429</v>
      </c>
      <c r="E118" t="s">
        <v>822</v>
      </c>
      <c r="F118" t="s">
        <v>429</v>
      </c>
      <c r="G118" t="s">
        <v>602</v>
      </c>
      <c r="H118" t="s">
        <v>429</v>
      </c>
      <c r="I118">
        <f t="shared" si="14"/>
        <v>116</v>
      </c>
      <c r="J118" t="str">
        <f t="shared" si="13"/>
        <v>E53_G116</v>
      </c>
    </row>
    <row r="119" ht="13.800000000000001">
      <c r="A119">
        <v>2158177</v>
      </c>
      <c r="B119" t="s">
        <v>197</v>
      </c>
      <c r="C119" t="s">
        <v>664</v>
      </c>
      <c r="D119" t="s">
        <v>197</v>
      </c>
      <c r="E119" t="s">
        <v>823</v>
      </c>
      <c r="F119" t="s">
        <v>197</v>
      </c>
      <c r="G119" t="s">
        <v>664</v>
      </c>
      <c r="H119" t="s">
        <v>197</v>
      </c>
      <c r="I119">
        <f t="shared" si="14"/>
        <v>117</v>
      </c>
      <c r="J119" t="str">
        <f t="shared" si="13"/>
        <v>E53_G117</v>
      </c>
    </row>
    <row r="120" ht="13.800000000000001">
      <c r="A120">
        <v>2266464</v>
      </c>
      <c r="B120" t="s">
        <v>42</v>
      </c>
      <c r="C120" t="s">
        <v>795</v>
      </c>
      <c r="D120" t="s">
        <v>42</v>
      </c>
      <c r="E120" t="s">
        <v>824</v>
      </c>
      <c r="F120" t="s">
        <v>42</v>
      </c>
      <c r="G120" t="s">
        <v>795</v>
      </c>
      <c r="H120" t="s">
        <v>42</v>
      </c>
      <c r="I120">
        <f t="shared" si="14"/>
        <v>118</v>
      </c>
      <c r="J120" t="str">
        <f t="shared" si="13"/>
        <v>E53_G118</v>
      </c>
    </row>
    <row r="121" ht="13.800000000000001">
      <c r="A121">
        <v>3530597</v>
      </c>
      <c r="B121" t="s">
        <v>825</v>
      </c>
      <c r="C121" t="s">
        <v>826</v>
      </c>
      <c r="D121" t="s">
        <v>827</v>
      </c>
      <c r="E121" t="s">
        <v>828</v>
      </c>
      <c r="F121" t="s">
        <v>825</v>
      </c>
      <c r="G121" t="s">
        <v>826</v>
      </c>
      <c r="H121" t="s">
        <v>827</v>
      </c>
      <c r="I121">
        <f t="shared" si="14"/>
        <v>119</v>
      </c>
      <c r="J121" t="str">
        <f t="shared" si="13"/>
        <v>E53_G119</v>
      </c>
    </row>
    <row r="122" ht="13.800000000000001">
      <c r="A122">
        <v>4838633</v>
      </c>
      <c r="B122" t="s">
        <v>829</v>
      </c>
      <c r="C122" t="s">
        <v>581</v>
      </c>
      <c r="D122" t="s">
        <v>829</v>
      </c>
      <c r="E122" t="s">
        <v>830</v>
      </c>
      <c r="F122" t="s">
        <v>829</v>
      </c>
      <c r="G122" t="s">
        <v>581</v>
      </c>
      <c r="H122" t="s">
        <v>829</v>
      </c>
      <c r="I122">
        <f t="shared" si="14"/>
        <v>120</v>
      </c>
      <c r="J122" t="str">
        <f t="shared" si="13"/>
        <v>E53_G120</v>
      </c>
    </row>
    <row r="123" ht="13.800000000000001">
      <c r="A123">
        <v>3173435</v>
      </c>
      <c r="B123" t="s">
        <v>831</v>
      </c>
      <c r="C123" t="s">
        <v>613</v>
      </c>
      <c r="D123" t="s">
        <v>832</v>
      </c>
      <c r="E123" t="s">
        <v>833</v>
      </c>
      <c r="F123" t="s">
        <v>831</v>
      </c>
      <c r="G123" t="s">
        <v>613</v>
      </c>
      <c r="H123" t="s">
        <v>832</v>
      </c>
      <c r="I123">
        <f t="shared" si="14"/>
        <v>121</v>
      </c>
      <c r="J123" t="str">
        <f t="shared" si="13"/>
        <v>E53_G121</v>
      </c>
    </row>
    <row r="124" ht="13.800000000000001">
      <c r="A124">
        <v>5037649</v>
      </c>
      <c r="B124" t="s">
        <v>834</v>
      </c>
      <c r="C124" t="s">
        <v>581</v>
      </c>
      <c r="D124" t="s">
        <v>834</v>
      </c>
      <c r="E124" t="s">
        <v>835</v>
      </c>
      <c r="F124" t="s">
        <v>834</v>
      </c>
      <c r="G124" t="s">
        <v>581</v>
      </c>
      <c r="H124" t="s">
        <v>834</v>
      </c>
      <c r="I124">
        <f t="shared" si="14"/>
        <v>122</v>
      </c>
      <c r="J124" t="str">
        <f t="shared" si="13"/>
        <v>E53_G122</v>
      </c>
    </row>
    <row r="125" ht="13.800000000000001">
      <c r="A125">
        <v>625144</v>
      </c>
      <c r="B125" t="s">
        <v>836</v>
      </c>
      <c r="C125" t="s">
        <v>747</v>
      </c>
      <c r="D125" t="s">
        <v>837</v>
      </c>
      <c r="E125" t="s">
        <v>838</v>
      </c>
      <c r="F125" t="s">
        <v>836</v>
      </c>
      <c r="G125" t="s">
        <v>747</v>
      </c>
      <c r="H125" t="s">
        <v>837</v>
      </c>
      <c r="I125">
        <f t="shared" si="14"/>
        <v>123</v>
      </c>
      <c r="J125" t="str">
        <f t="shared" si="13"/>
        <v>E53_G123</v>
      </c>
    </row>
    <row r="126" ht="13.800000000000001">
      <c r="A126">
        <v>625665</v>
      </c>
      <c r="B126" t="s">
        <v>839</v>
      </c>
      <c r="C126" t="s">
        <v>747</v>
      </c>
      <c r="D126" t="s">
        <v>840</v>
      </c>
      <c r="E126" t="s">
        <v>841</v>
      </c>
      <c r="F126" t="s">
        <v>839</v>
      </c>
      <c r="G126" t="s">
        <v>747</v>
      </c>
      <c r="H126" t="s">
        <v>840</v>
      </c>
      <c r="I126">
        <f t="shared" si="14"/>
        <v>124</v>
      </c>
      <c r="J126" t="str">
        <f t="shared" si="13"/>
        <v>E53_G124</v>
      </c>
    </row>
    <row r="127" ht="13.800000000000001">
      <c r="A127">
        <v>6077243</v>
      </c>
      <c r="B127" t="s">
        <v>842</v>
      </c>
      <c r="C127" t="s">
        <v>649</v>
      </c>
      <c r="D127" t="s">
        <v>842</v>
      </c>
      <c r="E127" t="s">
        <v>843</v>
      </c>
      <c r="F127" t="s">
        <v>842</v>
      </c>
      <c r="G127" t="s">
        <v>649</v>
      </c>
      <c r="H127" t="s">
        <v>842</v>
      </c>
      <c r="I127">
        <f t="shared" si="14"/>
        <v>125</v>
      </c>
      <c r="J127" t="str">
        <f t="shared" si="13"/>
        <v>E53_G125</v>
      </c>
    </row>
    <row r="128" ht="13.800000000000001">
      <c r="A128">
        <v>524901</v>
      </c>
      <c r="B128" t="s">
        <v>408</v>
      </c>
      <c r="C128" t="s">
        <v>563</v>
      </c>
      <c r="D128" t="s">
        <v>844</v>
      </c>
      <c r="E128" t="s">
        <v>845</v>
      </c>
      <c r="F128" t="s">
        <v>408</v>
      </c>
      <c r="G128" t="s">
        <v>563</v>
      </c>
      <c r="H128" t="s">
        <v>844</v>
      </c>
      <c r="I128">
        <f t="shared" si="14"/>
        <v>126</v>
      </c>
      <c r="J128" t="str">
        <f t="shared" si="13"/>
        <v>E53_G126</v>
      </c>
    </row>
    <row r="129" ht="13.800000000000001">
      <c r="A129">
        <v>2867714</v>
      </c>
      <c r="B129" t="s">
        <v>846</v>
      </c>
      <c r="C129" t="s">
        <v>602</v>
      </c>
      <c r="D129" t="s">
        <v>847</v>
      </c>
      <c r="E129" t="s">
        <v>848</v>
      </c>
      <c r="F129" t="s">
        <v>846</v>
      </c>
      <c r="G129" t="s">
        <v>602</v>
      </c>
      <c r="H129" t="s">
        <v>847</v>
      </c>
      <c r="I129">
        <f t="shared" si="14"/>
        <v>127</v>
      </c>
      <c r="J129" t="str">
        <f t="shared" si="13"/>
        <v>E53_G127</v>
      </c>
    </row>
    <row r="130" ht="13.800000000000001">
      <c r="A130">
        <v>2867543</v>
      </c>
      <c r="B130" t="s">
        <v>206</v>
      </c>
      <c r="C130" t="s">
        <v>602</v>
      </c>
      <c r="D130" t="s">
        <v>206</v>
      </c>
      <c r="E130" t="s">
        <v>849</v>
      </c>
      <c r="F130" t="s">
        <v>206</v>
      </c>
      <c r="G130" t="s">
        <v>602</v>
      </c>
      <c r="H130" t="s">
        <v>206</v>
      </c>
      <c r="I130">
        <f t="shared" si="14"/>
        <v>128</v>
      </c>
      <c r="J130" t="str">
        <f t="shared" si="13"/>
        <v>E53_G128</v>
      </c>
    </row>
    <row r="131" ht="13.800000000000001">
      <c r="A131">
        <v>4839366</v>
      </c>
      <c r="B131" t="s">
        <v>850</v>
      </c>
      <c r="C131" t="s">
        <v>581</v>
      </c>
      <c r="D131" t="s">
        <v>850</v>
      </c>
      <c r="E131" t="s">
        <v>851</v>
      </c>
      <c r="F131" t="s">
        <v>850</v>
      </c>
      <c r="G131" t="s">
        <v>581</v>
      </c>
      <c r="H131" t="s">
        <v>850</v>
      </c>
      <c r="I131">
        <f t="shared" si="14"/>
        <v>129</v>
      </c>
      <c r="J131" t="str">
        <f t="shared" si="13"/>
        <v>E53_G129</v>
      </c>
    </row>
    <row r="132" ht="13.800000000000001">
      <c r="A132">
        <v>5128581</v>
      </c>
      <c r="B132" t="s">
        <v>363</v>
      </c>
      <c r="C132" t="s">
        <v>581</v>
      </c>
      <c r="D132" t="s">
        <v>852</v>
      </c>
      <c r="E132" t="s">
        <v>853</v>
      </c>
      <c r="F132" t="s">
        <v>854</v>
      </c>
      <c r="G132" t="s">
        <v>581</v>
      </c>
      <c r="H132" t="s">
        <v>852</v>
      </c>
      <c r="I132">
        <f t="shared" si="14"/>
        <v>130</v>
      </c>
      <c r="J132" t="str">
        <f t="shared" si="13"/>
        <v>E53_G130</v>
      </c>
    </row>
    <row r="133" ht="13.800000000000001">
      <c r="A133">
        <v>146268</v>
      </c>
      <c r="B133" t="s">
        <v>855</v>
      </c>
      <c r="C133" t="s">
        <v>856</v>
      </c>
      <c r="D133" t="s">
        <v>857</v>
      </c>
      <c r="E133" t="s">
        <v>858</v>
      </c>
      <c r="F133" t="s">
        <v>855</v>
      </c>
      <c r="G133" t="s">
        <v>856</v>
      </c>
      <c r="H133" t="s">
        <v>857</v>
      </c>
      <c r="I133">
        <f t="shared" si="14"/>
        <v>131</v>
      </c>
      <c r="J133" t="str">
        <f t="shared" si="13"/>
        <v>E53_G131</v>
      </c>
    </row>
    <row r="134" ht="13.800000000000001">
      <c r="A134">
        <v>787657</v>
      </c>
      <c r="B134" t="s">
        <v>859</v>
      </c>
      <c r="C134" t="s">
        <v>599</v>
      </c>
      <c r="D134" t="s">
        <v>860</v>
      </c>
      <c r="E134" t="s">
        <v>861</v>
      </c>
      <c r="F134" t="s">
        <v>859</v>
      </c>
      <c r="G134" t="s">
        <v>599</v>
      </c>
      <c r="H134" t="s">
        <v>860</v>
      </c>
      <c r="I134">
        <f t="shared" si="14"/>
        <v>132</v>
      </c>
      <c r="J134" t="str">
        <f t="shared" si="13"/>
        <v>E53_G132</v>
      </c>
    </row>
    <row r="135" ht="13.800000000000001">
      <c r="A135">
        <v>2862026</v>
      </c>
      <c r="B135" t="s">
        <v>212</v>
      </c>
      <c r="C135" t="s">
        <v>602</v>
      </c>
      <c r="D135" t="s">
        <v>212</v>
      </c>
      <c r="E135" t="s">
        <v>862</v>
      </c>
      <c r="F135" t="s">
        <v>212</v>
      </c>
      <c r="G135" t="s">
        <v>602</v>
      </c>
      <c r="H135" t="s">
        <v>212</v>
      </c>
      <c r="I135">
        <f t="shared" si="14"/>
        <v>133</v>
      </c>
      <c r="J135" t="str">
        <f t="shared" si="13"/>
        <v>E53_G133</v>
      </c>
    </row>
    <row r="136" ht="13.800000000000001">
      <c r="A136">
        <v>4945819</v>
      </c>
      <c r="B136" t="s">
        <v>214</v>
      </c>
      <c r="C136" t="s">
        <v>581</v>
      </c>
      <c r="D136" t="s">
        <v>214</v>
      </c>
      <c r="E136" t="s">
        <v>863</v>
      </c>
      <c r="F136" t="s">
        <v>214</v>
      </c>
      <c r="G136" t="s">
        <v>581</v>
      </c>
      <c r="H136" t="s">
        <v>214</v>
      </c>
      <c r="I136">
        <f t="shared" si="14"/>
        <v>134</v>
      </c>
      <c r="J136" t="str">
        <f t="shared" si="13"/>
        <v>E53_G134</v>
      </c>
    </row>
    <row r="137" ht="13.800000000000001">
      <c r="A137">
        <v>3194360</v>
      </c>
      <c r="B137" t="s">
        <v>73</v>
      </c>
      <c r="C137" t="s">
        <v>599</v>
      </c>
      <c r="D137" t="s">
        <v>864</v>
      </c>
      <c r="E137" t="s">
        <v>865</v>
      </c>
      <c r="F137" t="s">
        <v>73</v>
      </c>
      <c r="G137" t="s">
        <v>599</v>
      </c>
      <c r="H137" t="s">
        <v>864</v>
      </c>
      <c r="I137">
        <f t="shared" si="14"/>
        <v>135</v>
      </c>
      <c r="J137" t="str">
        <f t="shared" si="13"/>
        <v>E53_G135</v>
      </c>
    </row>
    <row r="138" ht="13.800000000000001">
      <c r="A138">
        <v>1496990</v>
      </c>
      <c r="B138" t="s">
        <v>866</v>
      </c>
      <c r="C138" t="s">
        <v>563</v>
      </c>
      <c r="D138" t="s">
        <v>867</v>
      </c>
      <c r="E138" t="s">
        <v>868</v>
      </c>
      <c r="F138" t="s">
        <v>866</v>
      </c>
      <c r="G138" t="s">
        <v>563</v>
      </c>
      <c r="H138" t="s">
        <v>867</v>
      </c>
      <c r="I138">
        <f t="shared" si="14"/>
        <v>136</v>
      </c>
      <c r="J138" t="str">
        <f t="shared" si="13"/>
        <v>E53_G136</v>
      </c>
    </row>
    <row r="139" ht="13.800000000000001">
      <c r="A139">
        <v>2861650</v>
      </c>
      <c r="B139" t="s">
        <v>869</v>
      </c>
      <c r="C139" t="s">
        <v>602</v>
      </c>
      <c r="D139" t="s">
        <v>870</v>
      </c>
      <c r="E139" t="s">
        <v>871</v>
      </c>
      <c r="F139" t="s">
        <v>869</v>
      </c>
      <c r="G139" t="s">
        <v>602</v>
      </c>
      <c r="H139" t="s">
        <v>870</v>
      </c>
      <c r="I139">
        <f t="shared" si="14"/>
        <v>137</v>
      </c>
      <c r="J139" t="str">
        <f t="shared" si="13"/>
        <v>E53_G137</v>
      </c>
    </row>
    <row r="140" ht="13.800000000000001">
      <c r="A140">
        <v>698740</v>
      </c>
      <c r="B140" t="s">
        <v>872</v>
      </c>
      <c r="C140" t="s">
        <v>682</v>
      </c>
      <c r="D140" t="s">
        <v>873</v>
      </c>
      <c r="E140" t="s">
        <v>874</v>
      </c>
      <c r="F140" t="s">
        <v>873</v>
      </c>
      <c r="G140" t="s">
        <v>682</v>
      </c>
      <c r="H140" t="s">
        <v>873</v>
      </c>
      <c r="I140">
        <f t="shared" si="14"/>
        <v>138</v>
      </c>
      <c r="J140" t="str">
        <f t="shared" si="13"/>
        <v>E53_G138</v>
      </c>
    </row>
    <row r="141" ht="13.800000000000001">
      <c r="A141">
        <v>3069011</v>
      </c>
      <c r="B141" t="s">
        <v>505</v>
      </c>
      <c r="C141" t="s">
        <v>629</v>
      </c>
      <c r="D141" t="s">
        <v>875</v>
      </c>
      <c r="E141" t="s">
        <v>876</v>
      </c>
      <c r="F141" t="s">
        <v>505</v>
      </c>
      <c r="G141" t="s">
        <v>631</v>
      </c>
      <c r="H141" t="s">
        <v>875</v>
      </c>
      <c r="I141">
        <f t="shared" si="14"/>
        <v>139</v>
      </c>
      <c r="J141" t="str">
        <f t="shared" si="13"/>
        <v>E53_G139</v>
      </c>
    </row>
    <row r="142" ht="13.800000000000001">
      <c r="A142">
        <v>763166</v>
      </c>
      <c r="B142" t="s">
        <v>216</v>
      </c>
      <c r="C142" t="s">
        <v>605</v>
      </c>
      <c r="D142" t="s">
        <v>216</v>
      </c>
      <c r="E142" t="s">
        <v>877</v>
      </c>
      <c r="F142" t="s">
        <v>216</v>
      </c>
      <c r="G142" t="s">
        <v>605</v>
      </c>
      <c r="H142" t="s">
        <v>216</v>
      </c>
      <c r="I142">
        <f t="shared" si="14"/>
        <v>140</v>
      </c>
      <c r="J142" t="str">
        <f t="shared" si="13"/>
        <v>E53_G140</v>
      </c>
    </row>
    <row r="143" ht="13.800000000000001">
      <c r="A143">
        <v>3090048</v>
      </c>
      <c r="B143" t="s">
        <v>218</v>
      </c>
      <c r="C143" t="s">
        <v>605</v>
      </c>
      <c r="D143" t="s">
        <v>218</v>
      </c>
      <c r="E143" t="s">
        <v>878</v>
      </c>
      <c r="F143" t="s">
        <v>218</v>
      </c>
      <c r="G143" t="s">
        <v>605</v>
      </c>
      <c r="H143" t="s">
        <v>218</v>
      </c>
      <c r="I143">
        <f t="shared" si="14"/>
        <v>141</v>
      </c>
      <c r="J143" t="str">
        <f t="shared" si="13"/>
        <v>E53_G141</v>
      </c>
    </row>
    <row r="144" ht="13.800000000000001">
      <c r="A144">
        <v>5102208</v>
      </c>
      <c r="B144" t="s">
        <v>879</v>
      </c>
      <c r="C144" t="s">
        <v>581</v>
      </c>
      <c r="D144" t="s">
        <v>879</v>
      </c>
      <c r="E144" t="s">
        <v>880</v>
      </c>
      <c r="F144" t="s">
        <v>879</v>
      </c>
      <c r="G144" t="s">
        <v>581</v>
      </c>
      <c r="H144" t="s">
        <v>879</v>
      </c>
      <c r="I144">
        <f t="shared" si="14"/>
        <v>142</v>
      </c>
      <c r="J144" t="str">
        <f t="shared" si="13"/>
        <v>E53_G142</v>
      </c>
    </row>
    <row r="145" ht="13.800000000000001">
      <c r="A145">
        <v>3068799</v>
      </c>
      <c r="B145" t="s">
        <v>222</v>
      </c>
      <c r="C145" t="s">
        <v>629</v>
      </c>
      <c r="D145" t="s">
        <v>881</v>
      </c>
      <c r="E145" t="s">
        <v>882</v>
      </c>
      <c r="F145" t="s">
        <v>222</v>
      </c>
      <c r="G145" t="s">
        <v>631</v>
      </c>
      <c r="H145" t="s">
        <v>881</v>
      </c>
      <c r="I145">
        <f t="shared" si="14"/>
        <v>143</v>
      </c>
      <c r="J145" t="str">
        <f t="shared" si="13"/>
        <v>E53_G143</v>
      </c>
    </row>
    <row r="146" ht="13.800000000000001">
      <c r="A146">
        <v>698232</v>
      </c>
      <c r="B146" t="s">
        <v>883</v>
      </c>
      <c r="C146" t="s">
        <v>682</v>
      </c>
      <c r="D146" t="s">
        <v>884</v>
      </c>
      <c r="E146" t="s">
        <v>885</v>
      </c>
      <c r="F146" t="s">
        <v>883</v>
      </c>
      <c r="G146" t="s">
        <v>682</v>
      </c>
      <c r="H146" t="s">
        <v>884</v>
      </c>
      <c r="I146">
        <f t="shared" si="14"/>
        <v>144</v>
      </c>
      <c r="J146" t="str">
        <f t="shared" si="13"/>
        <v>E53_G144</v>
      </c>
    </row>
    <row r="147" ht="13.800000000000001">
      <c r="A147">
        <v>3089684</v>
      </c>
      <c r="B147" t="s">
        <v>224</v>
      </c>
      <c r="C147" t="s">
        <v>605</v>
      </c>
      <c r="D147" t="s">
        <v>224</v>
      </c>
      <c r="E147" t="s">
        <v>886</v>
      </c>
      <c r="F147" t="s">
        <v>224</v>
      </c>
      <c r="G147" t="s">
        <v>605</v>
      </c>
      <c r="H147" t="s">
        <v>224</v>
      </c>
      <c r="I147">
        <f t="shared" si="14"/>
        <v>145</v>
      </c>
      <c r="J147" t="str">
        <f t="shared" si="13"/>
        <v>E53_G145</v>
      </c>
    </row>
    <row r="148" ht="13.800000000000001">
      <c r="A148">
        <v>2640729</v>
      </c>
      <c r="B148" t="s">
        <v>226</v>
      </c>
      <c r="C148" t="s">
        <v>589</v>
      </c>
      <c r="D148" t="s">
        <v>887</v>
      </c>
      <c r="E148" t="s">
        <v>888</v>
      </c>
      <c r="F148" t="s">
        <v>226</v>
      </c>
      <c r="G148" t="s">
        <v>589</v>
      </c>
      <c r="H148" t="s">
        <v>887</v>
      </c>
      <c r="I148">
        <f t="shared" si="14"/>
        <v>146</v>
      </c>
      <c r="J148" t="str">
        <f t="shared" si="13"/>
        <v>E53_G146</v>
      </c>
    </row>
    <row r="149" ht="13.800000000000001">
      <c r="A149">
        <v>787237</v>
      </c>
      <c r="B149" t="s">
        <v>889</v>
      </c>
      <c r="C149" t="s">
        <v>599</v>
      </c>
      <c r="D149" t="s">
        <v>889</v>
      </c>
      <c r="E149" t="s">
        <v>890</v>
      </c>
      <c r="F149" t="s">
        <v>889</v>
      </c>
      <c r="G149" t="s">
        <v>599</v>
      </c>
      <c r="H149" t="s">
        <v>889</v>
      </c>
      <c r="I149">
        <f t="shared" si="14"/>
        <v>147</v>
      </c>
      <c r="J149" t="str">
        <f t="shared" si="13"/>
        <v>E53_G147</v>
      </c>
    </row>
    <row r="150" ht="13.800000000000001">
      <c r="A150">
        <v>2988507</v>
      </c>
      <c r="B150" t="s">
        <v>22</v>
      </c>
      <c r="C150" t="s">
        <v>891</v>
      </c>
      <c r="D150" t="s">
        <v>77</v>
      </c>
      <c r="E150" t="s">
        <v>892</v>
      </c>
      <c r="F150" t="s">
        <v>22</v>
      </c>
      <c r="G150" t="s">
        <v>891</v>
      </c>
      <c r="H150" t="s">
        <v>77</v>
      </c>
      <c r="I150">
        <f t="shared" si="14"/>
        <v>148</v>
      </c>
      <c r="J150" t="str">
        <f t="shared" si="13"/>
        <v>E53_G148</v>
      </c>
    </row>
    <row r="151" ht="13.800000000000001">
      <c r="A151">
        <v>4905687</v>
      </c>
      <c r="B151" t="s">
        <v>893</v>
      </c>
      <c r="C151" t="s">
        <v>581</v>
      </c>
      <c r="D151" t="s">
        <v>893</v>
      </c>
      <c r="E151" t="s">
        <v>894</v>
      </c>
      <c r="F151" t="s">
        <v>893</v>
      </c>
      <c r="G151" t="s">
        <v>581</v>
      </c>
      <c r="H151" t="s">
        <v>893</v>
      </c>
      <c r="I151">
        <f t="shared" si="14"/>
        <v>149</v>
      </c>
      <c r="J151" t="str">
        <f t="shared" si="13"/>
        <v>E53_G149</v>
      </c>
    </row>
    <row r="152" ht="13.800000000000001">
      <c r="A152">
        <v>511196</v>
      </c>
      <c r="B152" t="s">
        <v>895</v>
      </c>
      <c r="C152" t="s">
        <v>563</v>
      </c>
      <c r="D152" t="s">
        <v>895</v>
      </c>
      <c r="E152" t="s">
        <v>896</v>
      </c>
      <c r="F152" t="s">
        <v>895</v>
      </c>
      <c r="G152" t="s">
        <v>563</v>
      </c>
      <c r="H152" t="s">
        <v>895</v>
      </c>
      <c r="I152">
        <f t="shared" si="14"/>
        <v>150</v>
      </c>
      <c r="J152" t="str">
        <f t="shared" si="13"/>
        <v>E53_G150</v>
      </c>
    </row>
    <row r="153" ht="13.800000000000001">
      <c r="A153">
        <v>1495186</v>
      </c>
      <c r="B153" t="s">
        <v>897</v>
      </c>
      <c r="C153" t="s">
        <v>563</v>
      </c>
      <c r="D153" t="s">
        <v>897</v>
      </c>
      <c r="E153" t="s">
        <v>898</v>
      </c>
      <c r="F153" t="s">
        <v>897</v>
      </c>
      <c r="G153" t="s">
        <v>563</v>
      </c>
      <c r="H153" t="s">
        <v>899</v>
      </c>
      <c r="I153">
        <f t="shared" si="14"/>
        <v>151</v>
      </c>
      <c r="J153" t="str">
        <f t="shared" si="13"/>
        <v>E53_G151</v>
      </c>
    </row>
    <row r="154" ht="13.800000000000001">
      <c r="A154">
        <v>728193</v>
      </c>
      <c r="B154" t="s">
        <v>900</v>
      </c>
      <c r="C154" t="s">
        <v>901</v>
      </c>
      <c r="D154" t="s">
        <v>902</v>
      </c>
      <c r="E154" t="s">
        <v>903</v>
      </c>
      <c r="F154" t="s">
        <v>900</v>
      </c>
      <c r="G154" t="s">
        <v>901</v>
      </c>
      <c r="H154" t="s">
        <v>902</v>
      </c>
      <c r="I154">
        <f t="shared" si="14"/>
        <v>152</v>
      </c>
      <c r="J154" t="str">
        <f t="shared" si="13"/>
        <v>E53_G152</v>
      </c>
    </row>
    <row r="155" ht="13.800000000000001">
      <c r="A155">
        <v>3193044</v>
      </c>
      <c r="B155" t="s">
        <v>904</v>
      </c>
      <c r="C155" t="s">
        <v>905</v>
      </c>
      <c r="D155" t="s">
        <v>904</v>
      </c>
      <c r="E155" t="s">
        <v>906</v>
      </c>
      <c r="F155" t="s">
        <v>904</v>
      </c>
      <c r="G155" t="s">
        <v>905</v>
      </c>
      <c r="H155" t="s">
        <v>904</v>
      </c>
      <c r="I155">
        <f t="shared" si="14"/>
        <v>153</v>
      </c>
      <c r="J155" t="str">
        <f t="shared" si="13"/>
        <v>E53_G153</v>
      </c>
    </row>
    <row r="156" ht="13.800000000000001">
      <c r="A156">
        <v>5746545</v>
      </c>
      <c r="B156" t="s">
        <v>427</v>
      </c>
      <c r="C156" t="s">
        <v>581</v>
      </c>
      <c r="D156" t="s">
        <v>427</v>
      </c>
      <c r="E156" t="s">
        <v>907</v>
      </c>
      <c r="F156" t="s">
        <v>427</v>
      </c>
      <c r="G156" t="s">
        <v>581</v>
      </c>
      <c r="H156" t="s">
        <v>427</v>
      </c>
      <c r="I156">
        <f t="shared" si="14"/>
        <v>154</v>
      </c>
      <c r="J156" t="str">
        <f t="shared" si="13"/>
        <v>E53_G154</v>
      </c>
    </row>
    <row r="157" ht="13.800000000000001">
      <c r="A157">
        <v>2852458</v>
      </c>
      <c r="B157" t="s">
        <v>409</v>
      </c>
      <c r="C157" t="s">
        <v>602</v>
      </c>
      <c r="D157" t="s">
        <v>908</v>
      </c>
      <c r="E157" t="s">
        <v>909</v>
      </c>
      <c r="F157" t="s">
        <v>409</v>
      </c>
      <c r="G157" t="s">
        <v>602</v>
      </c>
      <c r="H157" t="s">
        <v>908</v>
      </c>
      <c r="I157">
        <f t="shared" si="14"/>
        <v>155</v>
      </c>
      <c r="J157" t="str">
        <f t="shared" si="13"/>
        <v>E53_G155</v>
      </c>
    </row>
    <row r="158" ht="13.800000000000001">
      <c r="A158">
        <v>3088171</v>
      </c>
      <c r="B158" t="s">
        <v>910</v>
      </c>
      <c r="C158" t="s">
        <v>605</v>
      </c>
      <c r="D158" t="s">
        <v>228</v>
      </c>
      <c r="E158" t="s">
        <v>911</v>
      </c>
      <c r="F158" t="s">
        <v>228</v>
      </c>
      <c r="G158" t="s">
        <v>605</v>
      </c>
      <c r="H158" t="s">
        <v>228</v>
      </c>
      <c r="I158">
        <f t="shared" si="14"/>
        <v>156</v>
      </c>
      <c r="J158" t="str">
        <f t="shared" si="13"/>
        <v>E53_G156</v>
      </c>
    </row>
    <row r="159" ht="13.800000000000001">
      <c r="A159">
        <v>3067696</v>
      </c>
      <c r="B159" t="s">
        <v>912</v>
      </c>
      <c r="C159" t="s">
        <v>629</v>
      </c>
      <c r="D159" t="s">
        <v>230</v>
      </c>
      <c r="E159" t="s">
        <v>913</v>
      </c>
      <c r="F159" t="s">
        <v>912</v>
      </c>
      <c r="G159" t="s">
        <v>631</v>
      </c>
      <c r="H159" t="s">
        <v>230</v>
      </c>
      <c r="I159">
        <f t="shared" si="14"/>
        <v>157</v>
      </c>
      <c r="J159" t="str">
        <f t="shared" si="13"/>
        <v>E53_G157</v>
      </c>
    </row>
    <row r="160" ht="13.800000000000001">
      <c r="A160">
        <v>761168</v>
      </c>
      <c r="B160" t="s">
        <v>914</v>
      </c>
      <c r="C160" t="s">
        <v>605</v>
      </c>
      <c r="D160" t="s">
        <v>914</v>
      </c>
      <c r="E160" t="s">
        <v>915</v>
      </c>
      <c r="F160" t="s">
        <v>914</v>
      </c>
      <c r="G160" t="s">
        <v>605</v>
      </c>
      <c r="H160" t="s">
        <v>914</v>
      </c>
      <c r="I160">
        <f t="shared" si="14"/>
        <v>158</v>
      </c>
      <c r="J160" t="str">
        <f t="shared" si="13"/>
        <v>E53_G158</v>
      </c>
    </row>
    <row r="161" ht="13.800000000000001">
      <c r="A161">
        <v>3087908</v>
      </c>
      <c r="B161" t="s">
        <v>231</v>
      </c>
      <c r="C161" t="s">
        <v>605</v>
      </c>
      <c r="D161" t="s">
        <v>231</v>
      </c>
      <c r="E161" t="s">
        <v>916</v>
      </c>
      <c r="F161" t="s">
        <v>231</v>
      </c>
      <c r="G161" t="s">
        <v>605</v>
      </c>
      <c r="H161" t="s">
        <v>231</v>
      </c>
      <c r="I161">
        <f t="shared" si="14"/>
        <v>159</v>
      </c>
      <c r="J161" t="str">
        <f t="shared" si="13"/>
        <v>E53_G159</v>
      </c>
    </row>
    <row r="162" ht="13.800000000000001">
      <c r="A162">
        <v>760778</v>
      </c>
      <c r="B162" t="s">
        <v>84</v>
      </c>
      <c r="C162" t="s">
        <v>605</v>
      </c>
      <c r="D162" t="s">
        <v>84</v>
      </c>
      <c r="E162" t="s">
        <v>917</v>
      </c>
      <c r="F162" t="s">
        <v>84</v>
      </c>
      <c r="G162" t="s">
        <v>605</v>
      </c>
      <c r="H162" t="s">
        <v>84</v>
      </c>
      <c r="I162">
        <f t="shared" si="14"/>
        <v>160</v>
      </c>
      <c r="J162" t="str">
        <f t="shared" si="13"/>
        <v>E53_G160</v>
      </c>
    </row>
    <row r="163" ht="13.800000000000001">
      <c r="A163">
        <v>2850257</v>
      </c>
      <c r="B163" t="s">
        <v>425</v>
      </c>
      <c r="C163" t="s">
        <v>602</v>
      </c>
      <c r="D163" t="s">
        <v>425</v>
      </c>
      <c r="E163" t="s">
        <v>918</v>
      </c>
      <c r="F163" t="s">
        <v>425</v>
      </c>
      <c r="G163" t="s">
        <v>602</v>
      </c>
      <c r="H163" t="s">
        <v>425</v>
      </c>
      <c r="I163">
        <f t="shared" si="14"/>
        <v>161</v>
      </c>
      <c r="J163" t="str">
        <f t="shared" si="13"/>
        <v>E53_G161</v>
      </c>
    </row>
    <row r="164" ht="13.800000000000001">
      <c r="A164">
        <v>2849483</v>
      </c>
      <c r="B164" t="s">
        <v>423</v>
      </c>
      <c r="C164" t="s">
        <v>602</v>
      </c>
      <c r="D164" t="s">
        <v>919</v>
      </c>
      <c r="E164" t="s">
        <v>920</v>
      </c>
      <c r="F164" t="s">
        <v>423</v>
      </c>
      <c r="G164" t="s">
        <v>602</v>
      </c>
      <c r="H164" t="s">
        <v>919</v>
      </c>
      <c r="I164">
        <f t="shared" si="14"/>
        <v>162</v>
      </c>
      <c r="J164" t="str">
        <f t="shared" ref="J164:J227" si="15">_xlfn.CONCAT("E53_G",I164)</f>
        <v>E53_G162</v>
      </c>
    </row>
    <row r="165" ht="13.800000000000001">
      <c r="A165">
        <v>456172</v>
      </c>
      <c r="B165" t="s">
        <v>921</v>
      </c>
      <c r="C165" t="s">
        <v>922</v>
      </c>
      <c r="D165" t="s">
        <v>923</v>
      </c>
      <c r="E165" t="s">
        <v>924</v>
      </c>
      <c r="F165" t="s">
        <v>921</v>
      </c>
      <c r="G165" t="s">
        <v>922</v>
      </c>
      <c r="H165" t="s">
        <v>923</v>
      </c>
      <c r="I165">
        <f t="shared" ref="I165:I228" si="16">I164+1</f>
        <v>163</v>
      </c>
      <c r="J165" t="str">
        <f t="shared" si="15"/>
        <v>E53_G163</v>
      </c>
    </row>
    <row r="166" ht="13.800000000000001">
      <c r="A166">
        <v>3451190</v>
      </c>
      <c r="B166" t="s">
        <v>18</v>
      </c>
      <c r="C166" t="s">
        <v>708</v>
      </c>
      <c r="D166" t="s">
        <v>18</v>
      </c>
      <c r="E166" t="s">
        <v>925</v>
      </c>
      <c r="F166" t="s">
        <v>18</v>
      </c>
      <c r="G166" t="s">
        <v>708</v>
      </c>
      <c r="H166" t="s">
        <v>18</v>
      </c>
      <c r="I166">
        <f t="shared" si="16"/>
        <v>164</v>
      </c>
      <c r="J166" t="str">
        <f t="shared" si="15"/>
        <v>E53_G164</v>
      </c>
    </row>
    <row r="167" ht="13.800000000000001">
      <c r="A167">
        <v>4367175</v>
      </c>
      <c r="B167" t="s">
        <v>926</v>
      </c>
      <c r="C167" t="s">
        <v>581</v>
      </c>
      <c r="D167" t="s">
        <v>926</v>
      </c>
      <c r="E167" t="s">
        <v>927</v>
      </c>
      <c r="F167" t="s">
        <v>926</v>
      </c>
      <c r="G167" t="s">
        <v>581</v>
      </c>
      <c r="H167" t="s">
        <v>926</v>
      </c>
      <c r="I167">
        <f t="shared" si="16"/>
        <v>165</v>
      </c>
      <c r="J167" t="str">
        <f t="shared" si="15"/>
        <v>E53_G165</v>
      </c>
    </row>
    <row r="168" ht="13.800000000000001">
      <c r="A168">
        <v>3169070</v>
      </c>
      <c r="B168" t="s">
        <v>237</v>
      </c>
      <c r="C168" t="s">
        <v>613</v>
      </c>
      <c r="D168" t="s">
        <v>928</v>
      </c>
      <c r="E168" t="s">
        <v>929</v>
      </c>
      <c r="F168" t="s">
        <v>237</v>
      </c>
      <c r="G168" t="s">
        <v>613</v>
      </c>
      <c r="H168" t="s">
        <v>928</v>
      </c>
      <c r="I168">
        <f t="shared" si="16"/>
        <v>166</v>
      </c>
      <c r="J168" t="str">
        <f t="shared" si="15"/>
        <v>E53_G166</v>
      </c>
    </row>
    <row r="169" ht="13.800000000000001">
      <c r="A169">
        <v>2844588</v>
      </c>
      <c r="B169" t="s">
        <v>383</v>
      </c>
      <c r="C169" t="s">
        <v>602</v>
      </c>
      <c r="D169" t="s">
        <v>383</v>
      </c>
      <c r="E169" t="s">
        <v>930</v>
      </c>
      <c r="F169" t="s">
        <v>383</v>
      </c>
      <c r="G169" t="s">
        <v>602</v>
      </c>
      <c r="H169" t="s">
        <v>383</v>
      </c>
      <c r="I169">
        <f t="shared" si="16"/>
        <v>167</v>
      </c>
      <c r="J169" t="str">
        <f t="shared" si="15"/>
        <v>E53_G167</v>
      </c>
    </row>
    <row r="170" ht="13.800000000000001">
      <c r="A170">
        <v>501175</v>
      </c>
      <c r="B170" t="s">
        <v>931</v>
      </c>
      <c r="C170" t="s">
        <v>563</v>
      </c>
      <c r="D170" t="s">
        <v>932</v>
      </c>
      <c r="E170" t="s">
        <v>933</v>
      </c>
      <c r="F170" t="s">
        <v>931</v>
      </c>
      <c r="G170" t="s">
        <v>563</v>
      </c>
      <c r="H170" t="s">
        <v>932</v>
      </c>
      <c r="I170">
        <f t="shared" si="16"/>
        <v>168</v>
      </c>
      <c r="J170" t="str">
        <f t="shared" si="15"/>
        <v>E53_G168</v>
      </c>
    </row>
    <row r="171" ht="13.800000000000001">
      <c r="A171">
        <v>759734</v>
      </c>
      <c r="B171" t="s">
        <v>344</v>
      </c>
      <c r="C171" t="s">
        <v>605</v>
      </c>
      <c r="D171" t="s">
        <v>344</v>
      </c>
      <c r="E171" t="s">
        <v>934</v>
      </c>
      <c r="F171" t="s">
        <v>344</v>
      </c>
      <c r="G171" t="s">
        <v>605</v>
      </c>
      <c r="H171" t="s">
        <v>344</v>
      </c>
      <c r="I171">
        <f t="shared" si="16"/>
        <v>169</v>
      </c>
      <c r="J171" t="str">
        <f t="shared" si="15"/>
        <v>E53_G169</v>
      </c>
    </row>
    <row r="172" ht="13.800000000000001">
      <c r="A172">
        <v>2842647</v>
      </c>
      <c r="B172" t="s">
        <v>32</v>
      </c>
      <c r="C172" t="s">
        <v>602</v>
      </c>
      <c r="D172" t="s">
        <v>32</v>
      </c>
      <c r="E172" t="s">
        <v>935</v>
      </c>
      <c r="F172" t="s">
        <v>32</v>
      </c>
      <c r="G172" t="s">
        <v>602</v>
      </c>
      <c r="H172" t="s">
        <v>32</v>
      </c>
      <c r="I172">
        <f t="shared" si="16"/>
        <v>170</v>
      </c>
      <c r="J172" t="str">
        <f t="shared" si="15"/>
        <v>E53_G170</v>
      </c>
    </row>
    <row r="173" ht="13.800000000000001">
      <c r="A173">
        <v>5780993</v>
      </c>
      <c r="B173" t="s">
        <v>936</v>
      </c>
      <c r="C173" t="s">
        <v>581</v>
      </c>
      <c r="D173" t="s">
        <v>936</v>
      </c>
      <c r="E173" t="s">
        <v>937</v>
      </c>
      <c r="F173" t="s">
        <v>936</v>
      </c>
      <c r="G173" t="s">
        <v>581</v>
      </c>
      <c r="H173" t="s">
        <v>936</v>
      </c>
      <c r="I173">
        <f t="shared" si="16"/>
        <v>171</v>
      </c>
      <c r="J173" t="str">
        <f t="shared" si="15"/>
        <v>E53_G171</v>
      </c>
    </row>
    <row r="174" ht="13.800000000000001">
      <c r="A174">
        <v>499099</v>
      </c>
      <c r="B174" t="s">
        <v>938</v>
      </c>
      <c r="C174" t="s">
        <v>563</v>
      </c>
      <c r="D174" t="s">
        <v>938</v>
      </c>
      <c r="E174" t="s">
        <v>939</v>
      </c>
      <c r="F174" t="s">
        <v>938</v>
      </c>
      <c r="G174" t="s">
        <v>563</v>
      </c>
      <c r="H174" t="s">
        <v>938</v>
      </c>
      <c r="I174">
        <f t="shared" si="16"/>
        <v>172</v>
      </c>
      <c r="J174" t="str">
        <f t="shared" si="15"/>
        <v>E53_G172</v>
      </c>
    </row>
    <row r="175" ht="13.800000000000001">
      <c r="A175">
        <v>5391811</v>
      </c>
      <c r="B175" t="s">
        <v>940</v>
      </c>
      <c r="C175" t="s">
        <v>581</v>
      </c>
      <c r="D175" t="s">
        <v>940</v>
      </c>
      <c r="E175" t="s">
        <v>941</v>
      </c>
      <c r="F175" t="s">
        <v>940</v>
      </c>
      <c r="G175" t="s">
        <v>581</v>
      </c>
      <c r="H175" t="s">
        <v>940</v>
      </c>
      <c r="I175">
        <f t="shared" si="16"/>
        <v>173</v>
      </c>
      <c r="J175" t="str">
        <f t="shared" si="15"/>
        <v>E53_G173</v>
      </c>
    </row>
    <row r="176" ht="13.800000000000001">
      <c r="A176">
        <v>5391959</v>
      </c>
      <c r="B176" t="s">
        <v>452</v>
      </c>
      <c r="C176" t="s">
        <v>581</v>
      </c>
      <c r="D176" t="s">
        <v>452</v>
      </c>
      <c r="E176" t="s">
        <v>942</v>
      </c>
      <c r="F176" t="s">
        <v>452</v>
      </c>
      <c r="G176" t="s">
        <v>581</v>
      </c>
      <c r="H176" t="s">
        <v>452</v>
      </c>
      <c r="I176">
        <f t="shared" si="16"/>
        <v>174</v>
      </c>
      <c r="J176" t="str">
        <f t="shared" si="15"/>
        <v>E53_G174</v>
      </c>
    </row>
    <row r="177" ht="13.800000000000001">
      <c r="A177">
        <v>3448439</v>
      </c>
      <c r="B177" t="s">
        <v>252</v>
      </c>
      <c r="C177" t="s">
        <v>708</v>
      </c>
      <c r="D177" t="s">
        <v>252</v>
      </c>
      <c r="E177" t="s">
        <v>943</v>
      </c>
      <c r="F177" t="s">
        <v>252</v>
      </c>
      <c r="G177" t="s">
        <v>708</v>
      </c>
      <c r="H177" t="s">
        <v>252</v>
      </c>
      <c r="I177">
        <f t="shared" si="16"/>
        <v>175</v>
      </c>
      <c r="J177" t="str">
        <f t="shared" si="15"/>
        <v>E53_G175</v>
      </c>
    </row>
    <row r="178" ht="13.800000000000001">
      <c r="A178">
        <v>498698</v>
      </c>
      <c r="B178" t="s">
        <v>944</v>
      </c>
      <c r="C178" t="s">
        <v>563</v>
      </c>
      <c r="D178" t="s">
        <v>945</v>
      </c>
      <c r="E178" t="s">
        <v>946</v>
      </c>
      <c r="F178" t="s">
        <v>944</v>
      </c>
      <c r="G178" t="s">
        <v>563</v>
      </c>
      <c r="H178" t="s">
        <v>945</v>
      </c>
      <c r="I178">
        <f t="shared" si="16"/>
        <v>176</v>
      </c>
      <c r="J178" t="str">
        <f t="shared" si="15"/>
        <v>E53_G176</v>
      </c>
    </row>
    <row r="179" ht="13.800000000000001">
      <c r="A179">
        <v>498677</v>
      </c>
      <c r="B179" t="s">
        <v>947</v>
      </c>
      <c r="C179" t="s">
        <v>563</v>
      </c>
      <c r="D179" t="s">
        <v>948</v>
      </c>
      <c r="E179" t="s">
        <v>949</v>
      </c>
      <c r="F179" t="s">
        <v>947</v>
      </c>
      <c r="G179" t="s">
        <v>563</v>
      </c>
      <c r="H179" t="s">
        <v>948</v>
      </c>
      <c r="I179">
        <f t="shared" si="16"/>
        <v>177</v>
      </c>
      <c r="J179" t="str">
        <f t="shared" si="15"/>
        <v>E53_G177</v>
      </c>
    </row>
    <row r="180" ht="13.800000000000001">
      <c r="A180">
        <v>2765388</v>
      </c>
      <c r="B180" t="s">
        <v>239</v>
      </c>
      <c r="C180" t="s">
        <v>950</v>
      </c>
      <c r="D180" t="s">
        <v>239</v>
      </c>
      <c r="E180" t="s">
        <v>951</v>
      </c>
      <c r="F180" t="s">
        <v>239</v>
      </c>
      <c r="G180" t="s">
        <v>950</v>
      </c>
      <c r="H180" t="s">
        <v>239</v>
      </c>
      <c r="I180">
        <f t="shared" si="16"/>
        <v>178</v>
      </c>
      <c r="J180" t="str">
        <f t="shared" si="15"/>
        <v>E53_G178</v>
      </c>
    </row>
    <row r="181" ht="13.800000000000001">
      <c r="A181">
        <v>785842</v>
      </c>
      <c r="B181" t="s">
        <v>952</v>
      </c>
      <c r="C181" t="s">
        <v>953</v>
      </c>
      <c r="D181" t="s">
        <v>952</v>
      </c>
      <c r="E181" t="s">
        <v>954</v>
      </c>
      <c r="F181" t="s">
        <v>952</v>
      </c>
      <c r="G181" t="s">
        <v>953</v>
      </c>
      <c r="H181" t="s">
        <v>952</v>
      </c>
      <c r="I181">
        <f t="shared" si="16"/>
        <v>179</v>
      </c>
      <c r="J181" t="str">
        <f t="shared" si="15"/>
        <v>E53_G179</v>
      </c>
    </row>
    <row r="182" ht="13.800000000000001">
      <c r="A182">
        <v>3085450</v>
      </c>
      <c r="B182" t="s">
        <v>352</v>
      </c>
      <c r="C182" t="s">
        <v>605</v>
      </c>
      <c r="D182" t="s">
        <v>352</v>
      </c>
      <c r="E182" t="s">
        <v>955</v>
      </c>
      <c r="F182" t="s">
        <v>352</v>
      </c>
      <c r="G182" t="s">
        <v>605</v>
      </c>
      <c r="H182" t="s">
        <v>352</v>
      </c>
      <c r="I182">
        <f t="shared" si="16"/>
        <v>180</v>
      </c>
      <c r="J182" t="str">
        <f t="shared" si="15"/>
        <v>E53_G180</v>
      </c>
    </row>
    <row r="183" ht="13.800000000000001">
      <c r="A183">
        <v>727011</v>
      </c>
      <c r="B183" t="s">
        <v>241</v>
      </c>
      <c r="C183" t="s">
        <v>901</v>
      </c>
      <c r="D183" t="s">
        <v>241</v>
      </c>
      <c r="E183" t="s">
        <v>956</v>
      </c>
      <c r="F183" t="s">
        <v>241</v>
      </c>
      <c r="G183" t="s">
        <v>901</v>
      </c>
      <c r="H183" t="s">
        <v>241</v>
      </c>
      <c r="I183">
        <f t="shared" si="16"/>
        <v>181</v>
      </c>
      <c r="J183" t="str">
        <f t="shared" si="15"/>
        <v>E53_G181</v>
      </c>
    </row>
    <row r="184" ht="13.800000000000001">
      <c r="A184">
        <v>3085151</v>
      </c>
      <c r="B184" t="s">
        <v>957</v>
      </c>
      <c r="C184" t="s">
        <v>605</v>
      </c>
      <c r="D184" t="s">
        <v>957</v>
      </c>
      <c r="E184" t="s">
        <v>958</v>
      </c>
      <c r="F184" t="s">
        <v>957</v>
      </c>
      <c r="G184" t="s">
        <v>605</v>
      </c>
      <c r="H184" t="s">
        <v>957</v>
      </c>
      <c r="I184">
        <f t="shared" si="16"/>
        <v>182</v>
      </c>
      <c r="J184" t="str">
        <f t="shared" si="15"/>
        <v>E53_G182</v>
      </c>
    </row>
    <row r="185" ht="13.800000000000001">
      <c r="A185">
        <v>498817</v>
      </c>
      <c r="B185" t="s">
        <v>959</v>
      </c>
      <c r="C185" t="s">
        <v>563</v>
      </c>
      <c r="D185" t="s">
        <v>960</v>
      </c>
      <c r="E185" t="s">
        <v>961</v>
      </c>
      <c r="F185" t="s">
        <v>962</v>
      </c>
      <c r="G185" t="s">
        <v>563</v>
      </c>
      <c r="H185" t="s">
        <v>963</v>
      </c>
      <c r="I185">
        <f t="shared" si="16"/>
        <v>183</v>
      </c>
      <c r="J185" t="str">
        <f t="shared" si="15"/>
        <v>E53_G183</v>
      </c>
    </row>
    <row r="186" ht="13.800000000000001">
      <c r="A186">
        <v>2766429</v>
      </c>
      <c r="B186" t="s">
        <v>379</v>
      </c>
      <c r="C186" t="s">
        <v>950</v>
      </c>
      <c r="D186" t="s">
        <v>379</v>
      </c>
      <c r="E186" t="s">
        <v>964</v>
      </c>
      <c r="F186" t="s">
        <v>379</v>
      </c>
      <c r="G186" t="s">
        <v>950</v>
      </c>
      <c r="H186" t="s">
        <v>379</v>
      </c>
      <c r="I186">
        <f t="shared" si="16"/>
        <v>184</v>
      </c>
      <c r="J186" t="str">
        <f t="shared" si="15"/>
        <v>E53_G184</v>
      </c>
    </row>
    <row r="187" ht="13.800000000000001">
      <c r="A187">
        <v>758242</v>
      </c>
      <c r="B187" t="s">
        <v>244</v>
      </c>
      <c r="C187" t="s">
        <v>605</v>
      </c>
      <c r="D187" t="s">
        <v>244</v>
      </c>
      <c r="E187" t="s">
        <v>965</v>
      </c>
      <c r="F187" t="s">
        <v>244</v>
      </c>
      <c r="G187" t="s">
        <v>605</v>
      </c>
      <c r="H187" t="s">
        <v>244</v>
      </c>
      <c r="I187">
        <f t="shared" si="16"/>
        <v>185</v>
      </c>
      <c r="J187" t="str">
        <f t="shared" si="15"/>
        <v>E53_G185</v>
      </c>
    </row>
    <row r="188" ht="13.800000000000001">
      <c r="A188">
        <v>2673730</v>
      </c>
      <c r="B188" t="s">
        <v>246</v>
      </c>
      <c r="C188" t="s">
        <v>632</v>
      </c>
      <c r="D188" t="s">
        <v>966</v>
      </c>
      <c r="E188" t="s">
        <v>967</v>
      </c>
      <c r="F188" t="s">
        <v>246</v>
      </c>
      <c r="G188" t="s">
        <v>632</v>
      </c>
      <c r="H188" t="s">
        <v>966</v>
      </c>
      <c r="I188">
        <f t="shared" si="16"/>
        <v>186</v>
      </c>
      <c r="J188" t="str">
        <f t="shared" si="15"/>
        <v>E53_G186</v>
      </c>
    </row>
    <row r="189" ht="13.800000000000001">
      <c r="A189">
        <v>2825297</v>
      </c>
      <c r="B189" t="s">
        <v>30</v>
      </c>
      <c r="C189" t="s">
        <v>602</v>
      </c>
      <c r="D189" t="s">
        <v>30</v>
      </c>
      <c r="E189" t="s">
        <v>968</v>
      </c>
      <c r="F189" t="s">
        <v>30</v>
      </c>
      <c r="G189" t="s">
        <v>602</v>
      </c>
      <c r="H189" t="s">
        <v>30</v>
      </c>
      <c r="I189">
        <f t="shared" si="16"/>
        <v>187</v>
      </c>
      <c r="J189" t="str">
        <f t="shared" si="15"/>
        <v>E53_G187</v>
      </c>
    </row>
    <row r="190" ht="13.800000000000001">
      <c r="A190">
        <v>2147714</v>
      </c>
      <c r="B190" t="s">
        <v>969</v>
      </c>
      <c r="C190" t="s">
        <v>664</v>
      </c>
      <c r="D190" t="s">
        <v>969</v>
      </c>
      <c r="E190" t="s">
        <v>970</v>
      </c>
      <c r="F190" t="s">
        <v>969</v>
      </c>
      <c r="G190" t="s">
        <v>664</v>
      </c>
      <c r="H190" t="s">
        <v>969</v>
      </c>
      <c r="I190">
        <f t="shared" si="16"/>
        <v>188</v>
      </c>
      <c r="J190" t="str">
        <f t="shared" si="15"/>
        <v>E53_G188</v>
      </c>
    </row>
    <row r="191" ht="13.800000000000001">
      <c r="A191">
        <v>2523083</v>
      </c>
      <c r="B191" t="s">
        <v>971</v>
      </c>
      <c r="C191" t="s">
        <v>613</v>
      </c>
      <c r="D191" t="s">
        <v>972</v>
      </c>
      <c r="E191" t="s">
        <v>973</v>
      </c>
      <c r="F191" t="s">
        <v>971</v>
      </c>
      <c r="G191" t="s">
        <v>613</v>
      </c>
      <c r="H191" t="s">
        <v>972</v>
      </c>
      <c r="I191">
        <f t="shared" si="16"/>
        <v>189</v>
      </c>
      <c r="J191" t="str">
        <f t="shared" si="15"/>
        <v>E53_G189</v>
      </c>
    </row>
    <row r="192" ht="13.800000000000001">
      <c r="A192">
        <v>3083829</v>
      </c>
      <c r="B192" t="s">
        <v>248</v>
      </c>
      <c r="C192" t="s">
        <v>605</v>
      </c>
      <c r="D192" t="s">
        <v>248</v>
      </c>
      <c r="E192" t="s">
        <v>974</v>
      </c>
      <c r="F192" t="s">
        <v>248</v>
      </c>
      <c r="G192" t="s">
        <v>605</v>
      </c>
      <c r="H192" t="s">
        <v>248</v>
      </c>
      <c r="I192">
        <f t="shared" si="16"/>
        <v>190</v>
      </c>
      <c r="J192" t="str">
        <f t="shared" si="15"/>
        <v>E53_G190</v>
      </c>
    </row>
    <row r="193" ht="13.800000000000001">
      <c r="A193">
        <v>715429</v>
      </c>
      <c r="B193" t="s">
        <v>250</v>
      </c>
      <c r="C193" t="s">
        <v>644</v>
      </c>
      <c r="D193" t="s">
        <v>250</v>
      </c>
      <c r="E193" t="s">
        <v>975</v>
      </c>
      <c r="F193" t="s">
        <v>250</v>
      </c>
      <c r="G193" t="s">
        <v>644</v>
      </c>
      <c r="H193" t="s">
        <v>976</v>
      </c>
      <c r="I193">
        <f t="shared" si="16"/>
        <v>191</v>
      </c>
      <c r="J193" t="str">
        <f t="shared" si="15"/>
        <v>E53_G191</v>
      </c>
    </row>
    <row r="194" ht="13.800000000000001">
      <c r="A194">
        <v>1668284</v>
      </c>
      <c r="B194" t="s">
        <v>977</v>
      </c>
      <c r="C194" t="s">
        <v>977</v>
      </c>
      <c r="D194" t="s">
        <v>978</v>
      </c>
      <c r="E194" t="s">
        <v>979</v>
      </c>
      <c r="F194" t="s">
        <v>977</v>
      </c>
      <c r="G194" t="s">
        <v>977</v>
      </c>
      <c r="H194" t="s">
        <v>980</v>
      </c>
      <c r="I194">
        <f t="shared" si="16"/>
        <v>192</v>
      </c>
      <c r="J194" t="str">
        <f t="shared" si="15"/>
        <v>E53_G192</v>
      </c>
    </row>
    <row r="195" ht="13.800000000000001">
      <c r="A195">
        <v>588409</v>
      </c>
      <c r="B195" t="s">
        <v>495</v>
      </c>
      <c r="C195" t="s">
        <v>981</v>
      </c>
      <c r="D195" t="s">
        <v>495</v>
      </c>
      <c r="E195" t="s">
        <v>982</v>
      </c>
      <c r="F195" t="s">
        <v>495</v>
      </c>
      <c r="G195" t="s">
        <v>981</v>
      </c>
      <c r="H195" t="s">
        <v>495</v>
      </c>
      <c r="I195">
        <f t="shared" si="16"/>
        <v>193</v>
      </c>
      <c r="J195" t="str">
        <f t="shared" si="15"/>
        <v>E53_G193</v>
      </c>
    </row>
    <row r="196" ht="13.800000000000001">
      <c r="A196">
        <v>665004</v>
      </c>
      <c r="B196" t="s">
        <v>547</v>
      </c>
      <c r="C196" t="s">
        <v>621</v>
      </c>
      <c r="D196" t="s">
        <v>547</v>
      </c>
      <c r="E196" t="s">
        <v>983</v>
      </c>
      <c r="F196" t="s">
        <v>984</v>
      </c>
      <c r="G196" t="s">
        <v>621</v>
      </c>
      <c r="H196" t="s">
        <v>984</v>
      </c>
      <c r="I196">
        <f t="shared" si="16"/>
        <v>194</v>
      </c>
      <c r="J196" t="str">
        <f t="shared" si="15"/>
        <v>E53_G194</v>
      </c>
    </row>
    <row r="197" ht="13.800000000000001">
      <c r="A197">
        <v>757033</v>
      </c>
      <c r="B197" t="s">
        <v>81</v>
      </c>
      <c r="C197" t="s">
        <v>605</v>
      </c>
      <c r="D197" t="s">
        <v>81</v>
      </c>
      <c r="E197" t="s">
        <v>985</v>
      </c>
      <c r="F197" t="s">
        <v>81</v>
      </c>
      <c r="G197" t="s">
        <v>605</v>
      </c>
      <c r="H197" t="s">
        <v>81</v>
      </c>
      <c r="I197">
        <f t="shared" si="16"/>
        <v>195</v>
      </c>
      <c r="J197" t="str">
        <f t="shared" si="15"/>
        <v>E53_G195</v>
      </c>
    </row>
    <row r="198" ht="13.800000000000001">
      <c r="A198">
        <v>757026</v>
      </c>
      <c r="B198" t="s">
        <v>364</v>
      </c>
      <c r="C198" t="s">
        <v>605</v>
      </c>
      <c r="D198" t="s">
        <v>364</v>
      </c>
      <c r="E198" t="s">
        <v>986</v>
      </c>
      <c r="F198" t="s">
        <v>364</v>
      </c>
      <c r="G198" t="s">
        <v>605</v>
      </c>
      <c r="H198" t="s">
        <v>364</v>
      </c>
      <c r="I198">
        <f t="shared" si="16"/>
        <v>196</v>
      </c>
      <c r="J198" t="str">
        <f t="shared" si="15"/>
        <v>E53_G196</v>
      </c>
    </row>
    <row r="199" ht="13.800000000000001">
      <c r="A199">
        <v>588335</v>
      </c>
      <c r="B199" t="s">
        <v>256</v>
      </c>
      <c r="C199" t="s">
        <v>981</v>
      </c>
      <c r="D199" t="s">
        <v>256</v>
      </c>
      <c r="E199" t="s">
        <v>987</v>
      </c>
      <c r="F199" t="s">
        <v>256</v>
      </c>
      <c r="G199" t="s">
        <v>981</v>
      </c>
      <c r="H199" t="s">
        <v>256</v>
      </c>
      <c r="I199">
        <f t="shared" si="16"/>
        <v>197</v>
      </c>
      <c r="J199" t="str">
        <f t="shared" si="15"/>
        <v>E53_G197</v>
      </c>
    </row>
    <row r="200" ht="13.800000000000001">
      <c r="A200">
        <v>112931</v>
      </c>
      <c r="B200" t="s">
        <v>435</v>
      </c>
      <c r="C200" t="s">
        <v>988</v>
      </c>
      <c r="D200" t="s">
        <v>989</v>
      </c>
      <c r="E200" t="s">
        <v>990</v>
      </c>
      <c r="F200" t="s">
        <v>435</v>
      </c>
      <c r="G200" t="s">
        <v>988</v>
      </c>
      <c r="H200" t="s">
        <v>989</v>
      </c>
      <c r="I200">
        <f t="shared" si="16"/>
        <v>198</v>
      </c>
      <c r="J200" t="str">
        <f t="shared" si="15"/>
        <v>E53_G198</v>
      </c>
    </row>
    <row r="201" ht="13.800000000000001">
      <c r="A201">
        <v>293397</v>
      </c>
      <c r="B201" t="s">
        <v>991</v>
      </c>
      <c r="C201" t="s">
        <v>756</v>
      </c>
      <c r="D201" t="s">
        <v>992</v>
      </c>
      <c r="E201" t="s">
        <v>993</v>
      </c>
      <c r="F201" t="s">
        <v>991</v>
      </c>
      <c r="G201" t="s">
        <v>756</v>
      </c>
      <c r="H201" t="s">
        <v>994</v>
      </c>
      <c r="I201">
        <f t="shared" si="16"/>
        <v>199</v>
      </c>
      <c r="J201" t="str">
        <f t="shared" si="15"/>
        <v>E53_G199</v>
      </c>
    </row>
    <row r="202" ht="13.800000000000001">
      <c r="A202">
        <v>691650</v>
      </c>
      <c r="B202" t="s">
        <v>995</v>
      </c>
      <c r="C202" t="s">
        <v>682</v>
      </c>
      <c r="D202" t="s">
        <v>996</v>
      </c>
      <c r="E202" t="s">
        <v>997</v>
      </c>
      <c r="F202" t="s">
        <v>995</v>
      </c>
      <c r="G202" t="s">
        <v>682</v>
      </c>
      <c r="H202" t="s">
        <v>996</v>
      </c>
      <c r="I202">
        <f t="shared" si="16"/>
        <v>200</v>
      </c>
      <c r="J202" t="str">
        <f t="shared" si="15"/>
        <v>E53_G200</v>
      </c>
    </row>
    <row r="203" ht="13.800000000000001">
      <c r="A203">
        <v>4265737</v>
      </c>
      <c r="B203" t="s">
        <v>998</v>
      </c>
      <c r="C203" t="s">
        <v>581</v>
      </c>
      <c r="D203" t="s">
        <v>998</v>
      </c>
      <c r="E203" t="s">
        <v>999</v>
      </c>
      <c r="F203" t="s">
        <v>998</v>
      </c>
      <c r="G203" t="s">
        <v>581</v>
      </c>
      <c r="H203" t="s">
        <v>998</v>
      </c>
      <c r="I203">
        <f t="shared" si="16"/>
        <v>201</v>
      </c>
      <c r="J203" t="str">
        <f t="shared" si="15"/>
        <v>E53_G201</v>
      </c>
    </row>
    <row r="204" ht="13.800000000000001">
      <c r="A204">
        <v>665087</v>
      </c>
      <c r="B204" t="s">
        <v>508</v>
      </c>
      <c r="C204" t="s">
        <v>621</v>
      </c>
      <c r="D204" t="s">
        <v>1000</v>
      </c>
      <c r="E204" t="s">
        <v>1001</v>
      </c>
      <c r="F204" t="s">
        <v>508</v>
      </c>
      <c r="G204" t="s">
        <v>621</v>
      </c>
      <c r="H204" t="s">
        <v>508</v>
      </c>
      <c r="I204">
        <f t="shared" si="16"/>
        <v>202</v>
      </c>
      <c r="J204" t="str">
        <f t="shared" si="15"/>
        <v>E53_G202</v>
      </c>
    </row>
    <row r="205" ht="13.800000000000001">
      <c r="A205">
        <v>1850147</v>
      </c>
      <c r="B205" t="s">
        <v>540</v>
      </c>
      <c r="C205" t="s">
        <v>1002</v>
      </c>
      <c r="D205" t="s">
        <v>1003</v>
      </c>
      <c r="E205" t="s">
        <v>1004</v>
      </c>
      <c r="F205" t="s">
        <v>540</v>
      </c>
      <c r="G205" t="s">
        <v>1002</v>
      </c>
      <c r="H205" t="s">
        <v>1003</v>
      </c>
      <c r="I205">
        <f t="shared" si="16"/>
        <v>203</v>
      </c>
      <c r="J205" t="str">
        <f t="shared" si="15"/>
        <v>E53_G203</v>
      </c>
    </row>
    <row r="206" ht="13.800000000000001">
      <c r="A206">
        <v>6167865</v>
      </c>
      <c r="B206" t="s">
        <v>350</v>
      </c>
      <c r="C206" t="s">
        <v>649</v>
      </c>
      <c r="D206" t="s">
        <v>350</v>
      </c>
      <c r="E206" t="s">
        <v>1005</v>
      </c>
      <c r="F206" t="s">
        <v>350</v>
      </c>
      <c r="G206" t="s">
        <v>649</v>
      </c>
      <c r="H206" t="s">
        <v>350</v>
      </c>
      <c r="I206">
        <f t="shared" si="16"/>
        <v>204</v>
      </c>
      <c r="J206" t="str">
        <f t="shared" si="15"/>
        <v>E53_G204</v>
      </c>
    </row>
    <row r="207" ht="13.800000000000001">
      <c r="A207">
        <v>3083271</v>
      </c>
      <c r="B207" t="s">
        <v>1006</v>
      </c>
      <c r="C207" t="s">
        <v>605</v>
      </c>
      <c r="D207" t="s">
        <v>262</v>
      </c>
      <c r="E207" t="s">
        <v>1007</v>
      </c>
      <c r="F207" t="s">
        <v>262</v>
      </c>
      <c r="G207" t="s">
        <v>605</v>
      </c>
      <c r="H207" t="s">
        <v>262</v>
      </c>
      <c r="I207">
        <f t="shared" si="16"/>
        <v>205</v>
      </c>
      <c r="J207" t="str">
        <f t="shared" si="15"/>
        <v>E53_G205</v>
      </c>
    </row>
    <row r="208" ht="13.800000000000001">
      <c r="A208">
        <v>2972315</v>
      </c>
      <c r="B208" t="s">
        <v>543</v>
      </c>
      <c r="C208" t="s">
        <v>891</v>
      </c>
      <c r="D208" t="s">
        <v>1008</v>
      </c>
      <c r="E208" t="s">
        <v>1009</v>
      </c>
      <c r="F208" t="s">
        <v>543</v>
      </c>
      <c r="G208" t="s">
        <v>891</v>
      </c>
      <c r="H208" t="s">
        <v>1008</v>
      </c>
      <c r="I208">
        <f t="shared" si="16"/>
        <v>206</v>
      </c>
      <c r="J208" t="str">
        <f t="shared" si="15"/>
        <v>E53_G206</v>
      </c>
    </row>
    <row r="209" ht="13.800000000000001">
      <c r="A209">
        <v>2971549</v>
      </c>
      <c r="B209" t="s">
        <v>264</v>
      </c>
      <c r="C209" t="s">
        <v>891</v>
      </c>
      <c r="D209" t="s">
        <v>264</v>
      </c>
      <c r="E209" t="s">
        <v>1010</v>
      </c>
      <c r="F209" t="s">
        <v>264</v>
      </c>
      <c r="G209" t="s">
        <v>891</v>
      </c>
      <c r="H209" t="s">
        <v>264</v>
      </c>
      <c r="I209">
        <f t="shared" si="16"/>
        <v>207</v>
      </c>
      <c r="J209" t="str">
        <f t="shared" si="15"/>
        <v>E53_G207</v>
      </c>
    </row>
    <row r="210" ht="13.800000000000001">
      <c r="A210">
        <v>2820860</v>
      </c>
      <c r="B210" t="s">
        <v>266</v>
      </c>
      <c r="C210" t="s">
        <v>602</v>
      </c>
      <c r="D210" t="s">
        <v>1011</v>
      </c>
      <c r="E210" t="s">
        <v>1012</v>
      </c>
      <c r="F210" t="s">
        <v>266</v>
      </c>
      <c r="G210" t="s">
        <v>602</v>
      </c>
      <c r="H210" t="s">
        <v>1011</v>
      </c>
      <c r="I210">
        <f t="shared" si="16"/>
        <v>208</v>
      </c>
      <c r="J210" t="str">
        <f t="shared" si="15"/>
        <v>E53_G208</v>
      </c>
    </row>
    <row r="211" ht="13.800000000000001">
      <c r="A211">
        <v>3165524</v>
      </c>
      <c r="B211" t="s">
        <v>1013</v>
      </c>
      <c r="C211" t="s">
        <v>613</v>
      </c>
      <c r="D211" t="s">
        <v>1014</v>
      </c>
      <c r="E211" t="s">
        <v>1015</v>
      </c>
      <c r="F211" t="s">
        <v>1013</v>
      </c>
      <c r="G211" t="s">
        <v>613</v>
      </c>
      <c r="H211" t="s">
        <v>1014</v>
      </c>
      <c r="I211">
        <f t="shared" si="16"/>
        <v>209</v>
      </c>
      <c r="J211" t="str">
        <f t="shared" si="15"/>
        <v>E53_G209</v>
      </c>
    </row>
    <row r="212" ht="13.800000000000001">
      <c r="A212">
        <v>2028462</v>
      </c>
      <c r="B212" t="s">
        <v>1016</v>
      </c>
      <c r="C212" t="s">
        <v>1017</v>
      </c>
      <c r="D212" t="s">
        <v>1018</v>
      </c>
      <c r="E212" t="s">
        <v>1019</v>
      </c>
      <c r="F212" t="s">
        <v>1016</v>
      </c>
      <c r="G212" t="s">
        <v>1017</v>
      </c>
      <c r="H212" t="s">
        <v>1018</v>
      </c>
      <c r="I212">
        <f t="shared" si="16"/>
        <v>210</v>
      </c>
      <c r="J212" t="str">
        <f t="shared" si="15"/>
        <v>E53_G210</v>
      </c>
    </row>
    <row r="213" ht="13.800000000000001">
      <c r="A213">
        <v>6252001</v>
      </c>
      <c r="B213" t="s">
        <v>581</v>
      </c>
      <c r="C213" t="s">
        <v>581</v>
      </c>
      <c r="D213" t="s">
        <v>268</v>
      </c>
      <c r="E213" t="s">
        <v>1020</v>
      </c>
      <c r="F213" t="s">
        <v>581</v>
      </c>
      <c r="G213" t="s">
        <v>581</v>
      </c>
      <c r="H213" t="s">
        <v>1021</v>
      </c>
      <c r="I213">
        <f t="shared" si="16"/>
        <v>211</v>
      </c>
      <c r="J213" t="str">
        <f t="shared" si="15"/>
        <v>E53_G211</v>
      </c>
    </row>
    <row r="214" ht="13.800000000000001">
      <c r="A214">
        <v>454572</v>
      </c>
      <c r="B214" t="s">
        <v>490</v>
      </c>
      <c r="C214" t="s">
        <v>922</v>
      </c>
      <c r="D214" t="s">
        <v>490</v>
      </c>
      <c r="E214" t="s">
        <v>1022</v>
      </c>
      <c r="F214" t="s">
        <v>1023</v>
      </c>
      <c r="G214" t="s">
        <v>1024</v>
      </c>
      <c r="H214" t="s">
        <v>1023</v>
      </c>
      <c r="I214">
        <f t="shared" si="16"/>
        <v>212</v>
      </c>
      <c r="J214" t="str">
        <f t="shared" si="15"/>
        <v>E53_G212</v>
      </c>
    </row>
    <row r="215" ht="13.800000000000001">
      <c r="A215">
        <v>2761369</v>
      </c>
      <c r="B215" t="s">
        <v>1025</v>
      </c>
      <c r="C215" t="s">
        <v>950</v>
      </c>
      <c r="D215" t="s">
        <v>1026</v>
      </c>
      <c r="E215" t="s">
        <v>1027</v>
      </c>
      <c r="F215" t="s">
        <v>1025</v>
      </c>
      <c r="G215" t="s">
        <v>950</v>
      </c>
      <c r="H215" t="s">
        <v>1026</v>
      </c>
      <c r="I215">
        <f t="shared" si="16"/>
        <v>213</v>
      </c>
      <c r="J215" t="str">
        <f t="shared" si="15"/>
        <v>E53_G213</v>
      </c>
    </row>
    <row r="216" ht="13.800000000000001">
      <c r="A216">
        <v>593116</v>
      </c>
      <c r="B216" t="s">
        <v>86</v>
      </c>
      <c r="C216" t="s">
        <v>761</v>
      </c>
      <c r="D216" t="s">
        <v>1028</v>
      </c>
      <c r="E216" t="s">
        <v>1029</v>
      </c>
      <c r="F216" t="s">
        <v>86</v>
      </c>
      <c r="G216" t="s">
        <v>761</v>
      </c>
      <c r="H216" t="s">
        <v>1028</v>
      </c>
      <c r="I216">
        <f t="shared" si="16"/>
        <v>214</v>
      </c>
      <c r="J216" t="str">
        <f t="shared" si="15"/>
        <v>E53_G214</v>
      </c>
    </row>
    <row r="217" ht="13.800000000000001">
      <c r="A217">
        <v>3104499</v>
      </c>
      <c r="B217" t="s">
        <v>1030</v>
      </c>
      <c r="C217" t="s">
        <v>586</v>
      </c>
      <c r="D217" t="s">
        <v>1031</v>
      </c>
      <c r="E217" t="s">
        <v>1032</v>
      </c>
      <c r="F217" t="s">
        <v>1030</v>
      </c>
      <c r="G217" t="s">
        <v>586</v>
      </c>
      <c r="H217" t="s">
        <v>1031</v>
      </c>
      <c r="I217">
        <f t="shared" si="16"/>
        <v>215</v>
      </c>
      <c r="J217" t="str">
        <f t="shared" si="15"/>
        <v>E53_G215</v>
      </c>
    </row>
    <row r="218" ht="13.800000000000001">
      <c r="A218">
        <v>472757</v>
      </c>
      <c r="B218" t="s">
        <v>1033</v>
      </c>
      <c r="C218" t="s">
        <v>563</v>
      </c>
      <c r="D218" t="s">
        <v>1034</v>
      </c>
      <c r="E218" t="s">
        <v>1035</v>
      </c>
      <c r="F218" t="s">
        <v>1033</v>
      </c>
      <c r="G218" t="s">
        <v>563</v>
      </c>
      <c r="H218" t="s">
        <v>1034</v>
      </c>
      <c r="I218">
        <f t="shared" si="16"/>
        <v>216</v>
      </c>
      <c r="J218" t="str">
        <f t="shared" si="15"/>
        <v>E53_G216</v>
      </c>
    </row>
    <row r="219" ht="13.800000000000001">
      <c r="A219">
        <v>472045</v>
      </c>
      <c r="B219" t="s">
        <v>1036</v>
      </c>
      <c r="C219" t="s">
        <v>563</v>
      </c>
      <c r="D219" t="s">
        <v>1037</v>
      </c>
      <c r="E219" t="s">
        <v>1038</v>
      </c>
      <c r="F219" t="s">
        <v>1036</v>
      </c>
      <c r="G219" t="s">
        <v>563</v>
      </c>
      <c r="H219" t="s">
        <v>1037</v>
      </c>
      <c r="I219">
        <f t="shared" si="16"/>
        <v>217</v>
      </c>
      <c r="J219" t="str">
        <f t="shared" si="15"/>
        <v>E53_G217</v>
      </c>
    </row>
    <row r="220" ht="13.800000000000001">
      <c r="A220">
        <v>756135</v>
      </c>
      <c r="B220" t="s">
        <v>66</v>
      </c>
      <c r="C220" t="s">
        <v>605</v>
      </c>
      <c r="D220" t="s">
        <v>341</v>
      </c>
      <c r="E220" t="s">
        <v>1039</v>
      </c>
      <c r="F220" t="s">
        <v>66</v>
      </c>
      <c r="G220" t="s">
        <v>605</v>
      </c>
      <c r="H220" t="s">
        <v>341</v>
      </c>
      <c r="I220">
        <f t="shared" si="16"/>
        <v>218</v>
      </c>
      <c r="J220" t="str">
        <f t="shared" si="15"/>
        <v>E53_G218</v>
      </c>
    </row>
    <row r="221" ht="13.800000000000001">
      <c r="A221">
        <v>4140963</v>
      </c>
      <c r="B221" t="s">
        <v>273</v>
      </c>
      <c r="C221" t="s">
        <v>581</v>
      </c>
      <c r="D221" t="s">
        <v>1040</v>
      </c>
      <c r="E221" t="s">
        <v>1041</v>
      </c>
      <c r="F221" t="s">
        <v>273</v>
      </c>
      <c r="G221" t="s">
        <v>581</v>
      </c>
      <c r="H221" t="s">
        <v>1040</v>
      </c>
      <c r="I221">
        <f t="shared" si="16"/>
        <v>219</v>
      </c>
      <c r="J221" t="str">
        <f t="shared" si="15"/>
        <v>E53_G219</v>
      </c>
    </row>
    <row r="222" ht="13.800000000000001">
      <c r="A222">
        <v>5278052</v>
      </c>
      <c r="B222" t="s">
        <v>1042</v>
      </c>
      <c r="C222" t="s">
        <v>581</v>
      </c>
      <c r="D222" t="s">
        <v>1042</v>
      </c>
      <c r="E222" t="s">
        <v>1043</v>
      </c>
      <c r="F222" t="s">
        <v>1042</v>
      </c>
      <c r="G222" t="s">
        <v>581</v>
      </c>
      <c r="H222" t="s">
        <v>1042</v>
      </c>
      <c r="I222">
        <f t="shared" si="16"/>
        <v>220</v>
      </c>
      <c r="J222" t="str">
        <f t="shared" si="15"/>
        <v>E53_G220</v>
      </c>
    </row>
    <row r="223" ht="13.800000000000001">
      <c r="A223">
        <v>2812174</v>
      </c>
      <c r="B223" t="s">
        <v>275</v>
      </c>
      <c r="C223" t="s">
        <v>602</v>
      </c>
      <c r="D223" t="s">
        <v>275</v>
      </c>
      <c r="E223" t="s">
        <v>1044</v>
      </c>
      <c r="F223" t="s">
        <v>275</v>
      </c>
      <c r="G223" t="s">
        <v>602</v>
      </c>
      <c r="H223" t="s">
        <v>275</v>
      </c>
      <c r="I223">
        <f t="shared" si="16"/>
        <v>221</v>
      </c>
      <c r="J223" t="str">
        <f t="shared" si="15"/>
        <v>E53_G221</v>
      </c>
    </row>
    <row r="224" ht="13.800000000000001">
      <c r="A224">
        <v>2809346</v>
      </c>
      <c r="B224" t="s">
        <v>279</v>
      </c>
      <c r="C224" t="s">
        <v>602</v>
      </c>
      <c r="D224" t="s">
        <v>279</v>
      </c>
      <c r="E224" t="s">
        <v>1045</v>
      </c>
      <c r="F224" t="s">
        <v>279</v>
      </c>
      <c r="G224" t="s">
        <v>602</v>
      </c>
      <c r="H224" t="s">
        <v>279</v>
      </c>
      <c r="I224">
        <f t="shared" si="16"/>
        <v>222</v>
      </c>
      <c r="J224" t="str">
        <f t="shared" si="15"/>
        <v>E53_G222</v>
      </c>
    </row>
    <row r="225" ht="13.800000000000001">
      <c r="A225">
        <v>754789</v>
      </c>
      <c r="B225" t="s">
        <v>281</v>
      </c>
      <c r="C225" t="s">
        <v>605</v>
      </c>
      <c r="D225" t="s">
        <v>281</v>
      </c>
      <c r="E225" t="s">
        <v>1046</v>
      </c>
      <c r="F225" t="s">
        <v>1047</v>
      </c>
      <c r="G225" t="s">
        <v>605</v>
      </c>
      <c r="H225" t="s">
        <v>281</v>
      </c>
      <c r="I225">
        <f t="shared" si="16"/>
        <v>223</v>
      </c>
      <c r="J225" t="str">
        <f t="shared" si="15"/>
        <v>E53_G223</v>
      </c>
    </row>
    <row r="226" ht="13.800000000000001">
      <c r="A226">
        <v>3081368</v>
      </c>
      <c r="B226" t="s">
        <v>1048</v>
      </c>
      <c r="C226" t="s">
        <v>605</v>
      </c>
      <c r="D226" t="s">
        <v>366</v>
      </c>
      <c r="E226" t="s">
        <v>1049</v>
      </c>
      <c r="F226" t="s">
        <v>366</v>
      </c>
      <c r="G226" t="s">
        <v>605</v>
      </c>
      <c r="H226" t="s">
        <v>366</v>
      </c>
      <c r="I226">
        <f t="shared" si="16"/>
        <v>224</v>
      </c>
      <c r="J226" t="str">
        <f t="shared" si="15"/>
        <v>E53_G224</v>
      </c>
    </row>
    <row r="227" ht="13.800000000000001">
      <c r="A227">
        <v>2805753</v>
      </c>
      <c r="B227" t="s">
        <v>287</v>
      </c>
      <c r="C227" t="s">
        <v>602</v>
      </c>
      <c r="D227" t="s">
        <v>287</v>
      </c>
      <c r="E227" t="s">
        <v>1050</v>
      </c>
      <c r="F227" t="s">
        <v>287</v>
      </c>
      <c r="G227" t="s">
        <v>602</v>
      </c>
      <c r="H227" t="s">
        <v>287</v>
      </c>
      <c r="I227">
        <f t="shared" si="16"/>
        <v>225</v>
      </c>
      <c r="J227" t="str">
        <f t="shared" si="15"/>
        <v>E53_G225</v>
      </c>
    </row>
    <row r="228" ht="13.800000000000001">
      <c r="A228">
        <v>1486209</v>
      </c>
      <c r="B228" t="s">
        <v>1051</v>
      </c>
      <c r="C228" t="s">
        <v>563</v>
      </c>
      <c r="D228" t="s">
        <v>1052</v>
      </c>
      <c r="E228" t="s">
        <v>1053</v>
      </c>
      <c r="F228" t="s">
        <v>1051</v>
      </c>
      <c r="G228" t="s">
        <v>563</v>
      </c>
      <c r="H228" t="s">
        <v>1052</v>
      </c>
      <c r="I228">
        <f t="shared" si="16"/>
        <v>226</v>
      </c>
      <c r="J228" t="str">
        <f t="shared" ref="J228:J272" si="17">_xlfn.CONCAT("E53_G",I228)</f>
        <v>E53_G226</v>
      </c>
    </row>
    <row r="229" ht="13.800000000000001">
      <c r="A229">
        <v>465634</v>
      </c>
      <c r="B229" t="s">
        <v>1054</v>
      </c>
      <c r="C229" t="s">
        <v>563</v>
      </c>
      <c r="D229" t="s">
        <v>1054</v>
      </c>
      <c r="E229" t="s">
        <v>1055</v>
      </c>
      <c r="F229" t="s">
        <v>1056</v>
      </c>
      <c r="G229" t="s">
        <v>563</v>
      </c>
      <c r="H229" t="s">
        <v>1056</v>
      </c>
      <c r="I229">
        <f t="shared" ref="I229:I272" si="18">I228+1</f>
        <v>227</v>
      </c>
      <c r="J229" t="str">
        <f t="shared" si="17"/>
        <v>E53_G227</v>
      </c>
    </row>
    <row r="230" ht="13.800000000000001">
      <c r="A230">
        <v>3186886</v>
      </c>
      <c r="B230" t="s">
        <v>289</v>
      </c>
      <c r="C230" t="s">
        <v>1057</v>
      </c>
      <c r="D230" t="s">
        <v>1058</v>
      </c>
      <c r="E230" t="s">
        <v>1059</v>
      </c>
      <c r="F230" t="s">
        <v>289</v>
      </c>
      <c r="G230" t="s">
        <v>1057</v>
      </c>
      <c r="H230" t="s">
        <v>1058</v>
      </c>
      <c r="I230">
        <f t="shared" si="18"/>
        <v>228</v>
      </c>
      <c r="J230" t="str">
        <f t="shared" si="17"/>
        <v>E53_G228</v>
      </c>
    </row>
    <row r="231" ht="13.800000000000001">
      <c r="A231">
        <v>3080836</v>
      </c>
      <c r="B231" t="s">
        <v>291</v>
      </c>
      <c r="C231" t="s">
        <v>605</v>
      </c>
      <c r="D231" t="s">
        <v>291</v>
      </c>
      <c r="E231" t="s">
        <v>1060</v>
      </c>
      <c r="F231" t="s">
        <v>291</v>
      </c>
      <c r="G231" t="s">
        <v>605</v>
      </c>
      <c r="H231" t="s">
        <v>291</v>
      </c>
      <c r="I231">
        <f t="shared" si="18"/>
        <v>229</v>
      </c>
      <c r="J231" t="str">
        <f t="shared" si="17"/>
        <v>E53_G229</v>
      </c>
    </row>
    <row r="232" ht="13.800000000000001">
      <c r="A232">
        <v>1784658</v>
      </c>
      <c r="B232" t="s">
        <v>542</v>
      </c>
      <c r="C232" t="s">
        <v>594</v>
      </c>
      <c r="D232" t="s">
        <v>542</v>
      </c>
      <c r="E232" t="s">
        <v>1061</v>
      </c>
      <c r="F232" t="s">
        <v>542</v>
      </c>
      <c r="G232" t="s">
        <v>597</v>
      </c>
      <c r="H232" t="s">
        <v>542</v>
      </c>
      <c r="I232">
        <f t="shared" si="18"/>
        <v>230</v>
      </c>
      <c r="J232" t="str">
        <f t="shared" si="17"/>
        <v>E53_G230</v>
      </c>
    </row>
    <row r="233" ht="13.800000000000001">
      <c r="A233">
        <v>686967</v>
      </c>
      <c r="B233" t="s">
        <v>1062</v>
      </c>
      <c r="C233" t="s">
        <v>682</v>
      </c>
      <c r="D233" t="s">
        <v>1063</v>
      </c>
      <c r="E233" t="s">
        <v>1064</v>
      </c>
      <c r="F233" t="s">
        <v>1062</v>
      </c>
      <c r="G233" t="s">
        <v>682</v>
      </c>
      <c r="H233" t="s">
        <v>1063</v>
      </c>
      <c r="I233">
        <f t="shared" si="18"/>
        <v>231</v>
      </c>
      <c r="J233" t="str">
        <f t="shared" si="17"/>
        <v>E53_G231</v>
      </c>
    </row>
    <row r="234" ht="13.800000000000001">
      <c r="A234">
        <v>3080165</v>
      </c>
      <c r="B234" t="s">
        <v>346</v>
      </c>
      <c r="C234" t="s">
        <v>605</v>
      </c>
      <c r="D234" t="s">
        <v>346</v>
      </c>
      <c r="E234" t="s">
        <v>1065</v>
      </c>
      <c r="F234" t="s">
        <v>346</v>
      </c>
      <c r="G234" t="s">
        <v>605</v>
      </c>
      <c r="H234" t="s">
        <v>346</v>
      </c>
      <c r="I234">
        <f t="shared" si="18"/>
        <v>232</v>
      </c>
      <c r="J234" t="str">
        <f t="shared" si="17"/>
        <v>E53_G232</v>
      </c>
    </row>
    <row r="235" ht="13.800000000000001">
      <c r="A235">
        <v>2657896</v>
      </c>
      <c r="B235" t="s">
        <v>1066</v>
      </c>
      <c r="C235" t="s">
        <v>558</v>
      </c>
      <c r="D235" t="s">
        <v>1067</v>
      </c>
      <c r="E235" t="s">
        <v>1068</v>
      </c>
      <c r="F235" t="s">
        <v>1066</v>
      </c>
      <c r="G235" t="s">
        <v>558</v>
      </c>
      <c r="H235" t="s">
        <v>1067</v>
      </c>
      <c r="I235">
        <f t="shared" si="18"/>
        <v>233</v>
      </c>
      <c r="J235" t="str">
        <f t="shared" si="17"/>
        <v>E53_G233</v>
      </c>
    </row>
    <row r="236" ht="12.800000000000001" customHeight="1">
      <c r="A236">
        <v>1526384</v>
      </c>
      <c r="E236" t="s">
        <v>1069</v>
      </c>
      <c r="F236" t="s">
        <v>1070</v>
      </c>
      <c r="G236" t="s">
        <v>1071</v>
      </c>
      <c r="H236" t="s">
        <v>1072</v>
      </c>
      <c r="I236">
        <f t="shared" si="18"/>
        <v>234</v>
      </c>
      <c r="J236" t="str">
        <f t="shared" si="17"/>
        <v>E53_G234</v>
      </c>
    </row>
    <row r="237" ht="12.800000000000001" customHeight="1">
      <c r="A237">
        <v>6557677</v>
      </c>
      <c r="E237" t="s">
        <v>1073</v>
      </c>
      <c r="F237" t="s">
        <v>1074</v>
      </c>
      <c r="G237" t="s">
        <v>602</v>
      </c>
      <c r="H237" t="s">
        <v>1074</v>
      </c>
      <c r="I237">
        <f t="shared" si="18"/>
        <v>235</v>
      </c>
      <c r="J237" t="str">
        <f t="shared" si="17"/>
        <v>E53_G235</v>
      </c>
    </row>
    <row r="238" ht="12.800000000000001" customHeight="1">
      <c r="A238">
        <v>1510853</v>
      </c>
      <c r="E238" t="s">
        <v>1075</v>
      </c>
      <c r="F238" t="s">
        <v>1076</v>
      </c>
      <c r="G238" t="s">
        <v>563</v>
      </c>
      <c r="H238" t="s">
        <v>1077</v>
      </c>
      <c r="I238">
        <f t="shared" si="18"/>
        <v>236</v>
      </c>
      <c r="J238" t="str">
        <f t="shared" si="17"/>
        <v>E53_G236</v>
      </c>
    </row>
    <row r="239" ht="12.800000000000001" customHeight="1">
      <c r="A239">
        <v>3202781</v>
      </c>
      <c r="E239" t="s">
        <v>1078</v>
      </c>
      <c r="F239" t="s">
        <v>1079</v>
      </c>
      <c r="G239" t="s">
        <v>799</v>
      </c>
      <c r="H239" t="s">
        <v>1079</v>
      </c>
      <c r="I239">
        <f t="shared" si="18"/>
        <v>237</v>
      </c>
      <c r="J239" t="str">
        <f t="shared" si="17"/>
        <v>E53_G237</v>
      </c>
    </row>
    <row r="240" ht="12.800000000000001" customHeight="1">
      <c r="A240">
        <v>569154</v>
      </c>
      <c r="E240" t="s">
        <v>1080</v>
      </c>
      <c r="F240" t="s">
        <v>1081</v>
      </c>
      <c r="G240" t="s">
        <v>563</v>
      </c>
      <c r="H240" t="s">
        <v>1082</v>
      </c>
      <c r="I240">
        <f t="shared" si="18"/>
        <v>238</v>
      </c>
      <c r="J240" t="str">
        <f t="shared" si="17"/>
        <v>E53_G238</v>
      </c>
    </row>
    <row r="241" ht="12.800000000000001" customHeight="1">
      <c r="A241">
        <v>2025339</v>
      </c>
      <c r="E241" t="s">
        <v>1083</v>
      </c>
      <c r="F241" t="s">
        <v>1084</v>
      </c>
      <c r="G241" t="s">
        <v>563</v>
      </c>
      <c r="H241" t="s">
        <v>1085</v>
      </c>
      <c r="I241">
        <f t="shared" si="18"/>
        <v>239</v>
      </c>
      <c r="J241" t="str">
        <f t="shared" si="17"/>
        <v>E53_G239</v>
      </c>
    </row>
    <row r="242" ht="12.800000000000001" customHeight="1">
      <c r="A242">
        <v>774367</v>
      </c>
      <c r="E242" t="s">
        <v>1086</v>
      </c>
      <c r="F242" t="s">
        <v>1087</v>
      </c>
      <c r="G242" t="s">
        <v>605</v>
      </c>
      <c r="H242" t="s">
        <v>1087</v>
      </c>
      <c r="I242">
        <f t="shared" si="18"/>
        <v>240</v>
      </c>
      <c r="J242" t="str">
        <f t="shared" si="17"/>
        <v>E53_G240</v>
      </c>
    </row>
    <row r="243" ht="12.800000000000001" customHeight="1">
      <c r="A243">
        <v>2618425</v>
      </c>
      <c r="E243" t="s">
        <v>1088</v>
      </c>
      <c r="F243" t="s">
        <v>1089</v>
      </c>
      <c r="G243" t="s">
        <v>1090</v>
      </c>
      <c r="H243" t="s">
        <v>1091</v>
      </c>
      <c r="I243">
        <f t="shared" si="18"/>
        <v>241</v>
      </c>
      <c r="J243" t="str">
        <f t="shared" si="17"/>
        <v>E53_G241</v>
      </c>
    </row>
    <row r="244" ht="12.800000000000001" customHeight="1">
      <c r="A244">
        <v>2023469</v>
      </c>
      <c r="E244" t="s">
        <v>1092</v>
      </c>
      <c r="F244" t="s">
        <v>1093</v>
      </c>
      <c r="G244" t="s">
        <v>563</v>
      </c>
      <c r="H244" t="s">
        <v>1094</v>
      </c>
      <c r="I244">
        <f t="shared" si="18"/>
        <v>242</v>
      </c>
      <c r="J244" t="str">
        <f t="shared" si="17"/>
        <v>E53_G242</v>
      </c>
    </row>
    <row r="245" ht="12.800000000000001" customHeight="1">
      <c r="A245">
        <v>1503901</v>
      </c>
      <c r="E245" t="s">
        <v>1095</v>
      </c>
      <c r="F245" t="s">
        <v>1096</v>
      </c>
      <c r="G245" t="s">
        <v>563</v>
      </c>
      <c r="H245" t="s">
        <v>1097</v>
      </c>
      <c r="I245">
        <f t="shared" si="18"/>
        <v>243</v>
      </c>
      <c r="J245" t="str">
        <f t="shared" si="17"/>
        <v>E53_G243</v>
      </c>
    </row>
    <row r="246" ht="12.800000000000001" customHeight="1">
      <c r="A246">
        <v>618426</v>
      </c>
      <c r="E246" t="s">
        <v>1098</v>
      </c>
      <c r="F246" t="s">
        <v>1099</v>
      </c>
      <c r="G246" t="s">
        <v>1100</v>
      </c>
      <c r="H246" t="s">
        <v>1101</v>
      </c>
      <c r="I246">
        <f t="shared" si="18"/>
        <v>244</v>
      </c>
      <c r="J246" t="str">
        <f t="shared" si="17"/>
        <v>E53_G244</v>
      </c>
    </row>
    <row r="247" ht="12.800000000000001" customHeight="1">
      <c r="A247">
        <v>2774321</v>
      </c>
      <c r="E247" t="s">
        <v>1102</v>
      </c>
      <c r="F247" t="s">
        <v>1103</v>
      </c>
      <c r="G247" t="s">
        <v>950</v>
      </c>
      <c r="H247" t="s">
        <v>1103</v>
      </c>
      <c r="I247">
        <f t="shared" si="18"/>
        <v>245</v>
      </c>
      <c r="J247" t="str">
        <f t="shared" si="17"/>
        <v>E53_G245</v>
      </c>
    </row>
    <row r="248" ht="12.800000000000001" customHeight="1">
      <c r="A248">
        <v>2751873</v>
      </c>
      <c r="E248" t="s">
        <v>1104</v>
      </c>
      <c r="F248" t="s">
        <v>1105</v>
      </c>
      <c r="G248" t="s">
        <v>567</v>
      </c>
      <c r="H248" t="s">
        <v>1105</v>
      </c>
      <c r="I248">
        <f t="shared" si="18"/>
        <v>246</v>
      </c>
      <c r="J248" t="str">
        <f t="shared" si="17"/>
        <v>E53_G246</v>
      </c>
    </row>
    <row r="249" ht="12.800000000000001" customHeight="1">
      <c r="A249">
        <v>7286283</v>
      </c>
      <c r="E249" t="s">
        <v>1106</v>
      </c>
      <c r="F249" t="s">
        <v>1107</v>
      </c>
      <c r="G249" t="s">
        <v>558</v>
      </c>
      <c r="H249" t="s">
        <v>1108</v>
      </c>
      <c r="I249">
        <f t="shared" si="18"/>
        <v>247</v>
      </c>
      <c r="J249" t="str">
        <f t="shared" si="17"/>
        <v>E53_G247</v>
      </c>
    </row>
    <row r="250" ht="12.800000000000001" customHeight="1">
      <c r="A250">
        <v>4942807</v>
      </c>
      <c r="E250" t="s">
        <v>1109</v>
      </c>
      <c r="F250" t="s">
        <v>1110</v>
      </c>
      <c r="G250" t="s">
        <v>581</v>
      </c>
      <c r="H250" t="s">
        <v>1110</v>
      </c>
      <c r="I250">
        <f t="shared" si="18"/>
        <v>248</v>
      </c>
      <c r="J250" t="str">
        <f t="shared" si="17"/>
        <v>E53_G248</v>
      </c>
    </row>
    <row r="251" ht="12.800000000000001" customHeight="1">
      <c r="A251">
        <v>2642465</v>
      </c>
      <c r="E251" t="s">
        <v>1111</v>
      </c>
      <c r="F251" t="s">
        <v>1112</v>
      </c>
      <c r="G251" t="s">
        <v>589</v>
      </c>
      <c r="H251" t="s">
        <v>1112</v>
      </c>
      <c r="I251">
        <f t="shared" si="18"/>
        <v>249</v>
      </c>
      <c r="J251" t="str">
        <f t="shared" si="17"/>
        <v>E53_G249</v>
      </c>
    </row>
    <row r="252" ht="12.800000000000001" customHeight="1">
      <c r="A252">
        <v>5101798</v>
      </c>
      <c r="E252" t="s">
        <v>1113</v>
      </c>
      <c r="F252" t="s">
        <v>1114</v>
      </c>
      <c r="G252" t="s">
        <v>581</v>
      </c>
      <c r="H252" t="s">
        <v>1114</v>
      </c>
      <c r="I252">
        <f t="shared" si="18"/>
        <v>250</v>
      </c>
      <c r="J252" t="str">
        <f t="shared" si="17"/>
        <v>E53_G250</v>
      </c>
    </row>
    <row r="253" ht="12.800000000000001" customHeight="1">
      <c r="A253">
        <v>2641557</v>
      </c>
      <c r="E253" t="s">
        <v>1115</v>
      </c>
      <c r="F253" t="s">
        <v>1116</v>
      </c>
      <c r="G253" t="s">
        <v>589</v>
      </c>
      <c r="H253" t="s">
        <v>1116</v>
      </c>
      <c r="I253">
        <f t="shared" si="18"/>
        <v>251</v>
      </c>
      <c r="J253" t="str">
        <f t="shared" si="17"/>
        <v>E53_G251</v>
      </c>
    </row>
    <row r="254" ht="12.800000000000001" customHeight="1">
      <c r="A254">
        <v>520555</v>
      </c>
      <c r="E254" t="s">
        <v>1117</v>
      </c>
      <c r="F254" t="s">
        <v>1118</v>
      </c>
      <c r="G254" t="s">
        <v>563</v>
      </c>
      <c r="H254" t="s">
        <v>1119</v>
      </c>
      <c r="I254">
        <f t="shared" si="18"/>
        <v>252</v>
      </c>
      <c r="J254" t="str">
        <f t="shared" si="17"/>
        <v>E53_G252</v>
      </c>
    </row>
    <row r="255" ht="12.800000000000001" customHeight="1">
      <c r="A255">
        <v>4839822</v>
      </c>
      <c r="E255" t="s">
        <v>1120</v>
      </c>
      <c r="F255" t="s">
        <v>1121</v>
      </c>
      <c r="G255" t="s">
        <v>581</v>
      </c>
      <c r="H255" t="s">
        <v>1121</v>
      </c>
      <c r="I255">
        <f t="shared" si="18"/>
        <v>253</v>
      </c>
      <c r="J255" t="str">
        <f t="shared" si="17"/>
        <v>E53_G253</v>
      </c>
    </row>
    <row r="256" ht="12.800000000000001" customHeight="1">
      <c r="A256">
        <v>6558425</v>
      </c>
      <c r="E256" t="s">
        <v>1122</v>
      </c>
      <c r="F256" t="s">
        <v>1123</v>
      </c>
      <c r="G256" t="s">
        <v>602</v>
      </c>
      <c r="H256" t="s">
        <v>1123</v>
      </c>
      <c r="I256">
        <f t="shared" si="18"/>
        <v>254</v>
      </c>
      <c r="J256" t="str">
        <f t="shared" si="17"/>
        <v>E53_G254</v>
      </c>
    </row>
    <row r="257" ht="12.800000000000001" customHeight="1">
      <c r="A257">
        <v>3143244</v>
      </c>
      <c r="E257" t="s">
        <v>1124</v>
      </c>
      <c r="F257" t="s">
        <v>1125</v>
      </c>
      <c r="G257" t="s">
        <v>1126</v>
      </c>
      <c r="H257" t="s">
        <v>1125</v>
      </c>
      <c r="I257">
        <f t="shared" si="18"/>
        <v>255</v>
      </c>
      <c r="J257" t="str">
        <f t="shared" si="17"/>
        <v>E53_G255</v>
      </c>
    </row>
    <row r="258" ht="12.800000000000001" customHeight="1">
      <c r="A258">
        <v>6542127</v>
      </c>
      <c r="E258" t="s">
        <v>1127</v>
      </c>
      <c r="F258" t="s">
        <v>1128</v>
      </c>
      <c r="G258" t="s">
        <v>613</v>
      </c>
      <c r="H258" t="s">
        <v>1128</v>
      </c>
      <c r="I258">
        <f t="shared" si="18"/>
        <v>256</v>
      </c>
      <c r="J258" t="str">
        <f t="shared" si="17"/>
        <v>E53_G256</v>
      </c>
    </row>
    <row r="259" ht="12.800000000000001" customHeight="1">
      <c r="A259">
        <v>6557615</v>
      </c>
      <c r="E259" t="s">
        <v>1129</v>
      </c>
      <c r="F259" t="s">
        <v>1130</v>
      </c>
      <c r="G259" t="s">
        <v>602</v>
      </c>
      <c r="H259" t="s">
        <v>1130</v>
      </c>
      <c r="I259">
        <f t="shared" si="18"/>
        <v>257</v>
      </c>
      <c r="J259" t="str">
        <f t="shared" si="17"/>
        <v>E53_G257</v>
      </c>
    </row>
    <row r="260" ht="12.800000000000001" customHeight="1">
      <c r="A260">
        <v>1835848</v>
      </c>
      <c r="E260" t="s">
        <v>1131</v>
      </c>
      <c r="F260" t="s">
        <v>1132</v>
      </c>
      <c r="G260" t="s">
        <v>1133</v>
      </c>
      <c r="H260" t="s">
        <v>1134</v>
      </c>
      <c r="I260">
        <f t="shared" si="18"/>
        <v>258</v>
      </c>
      <c r="J260" t="str">
        <f t="shared" si="17"/>
        <v>E53_G258</v>
      </c>
    </row>
    <row r="261" ht="12.800000000000001" customHeight="1">
      <c r="A261">
        <v>1796236</v>
      </c>
      <c r="E261" t="s">
        <v>1135</v>
      </c>
      <c r="F261" t="s">
        <v>1136</v>
      </c>
      <c r="G261" t="s">
        <v>597</v>
      </c>
      <c r="H261" t="s">
        <v>1137</v>
      </c>
      <c r="I261">
        <f t="shared" si="18"/>
        <v>259</v>
      </c>
      <c r="J261" t="str">
        <f t="shared" si="17"/>
        <v>E53_G259</v>
      </c>
    </row>
    <row r="262" ht="12.800000000000001" customHeight="1">
      <c r="A262">
        <v>487846</v>
      </c>
      <c r="E262" t="s">
        <v>1138</v>
      </c>
      <c r="F262" t="s">
        <v>1139</v>
      </c>
      <c r="G262" t="s">
        <v>563</v>
      </c>
      <c r="H262" t="s">
        <v>1140</v>
      </c>
      <c r="I262">
        <f t="shared" si="18"/>
        <v>260</v>
      </c>
      <c r="J262" t="str">
        <f t="shared" si="17"/>
        <v>E53_G260</v>
      </c>
    </row>
    <row r="263" ht="12.800000000000001" customHeight="1">
      <c r="A263">
        <v>1668341</v>
      </c>
      <c r="E263" t="s">
        <v>1141</v>
      </c>
      <c r="F263" t="s">
        <v>1142</v>
      </c>
      <c r="G263" t="s">
        <v>977</v>
      </c>
      <c r="H263" t="s">
        <v>1143</v>
      </c>
      <c r="I263">
        <f t="shared" si="18"/>
        <v>261</v>
      </c>
      <c r="J263" t="str">
        <f t="shared" si="17"/>
        <v>E53_G261</v>
      </c>
    </row>
    <row r="264" ht="12.800000000000001" customHeight="1">
      <c r="A264">
        <v>611716</v>
      </c>
      <c r="E264" t="s">
        <v>1144</v>
      </c>
      <c r="F264" t="s">
        <v>1145</v>
      </c>
      <c r="G264" t="s">
        <v>592</v>
      </c>
      <c r="H264" t="s">
        <v>1145</v>
      </c>
      <c r="I264">
        <f t="shared" si="18"/>
        <v>262</v>
      </c>
      <c r="J264" t="str">
        <f t="shared" si="17"/>
        <v>E53_G262</v>
      </c>
    </row>
    <row r="265" ht="12.800000000000001" customHeight="1">
      <c r="A265">
        <v>2785478</v>
      </c>
      <c r="E265" t="s">
        <v>1146</v>
      </c>
      <c r="F265" t="s">
        <v>1147</v>
      </c>
      <c r="G265" t="s">
        <v>637</v>
      </c>
      <c r="H265" t="s">
        <v>1147</v>
      </c>
      <c r="I265">
        <f t="shared" si="18"/>
        <v>263</v>
      </c>
      <c r="J265" t="str">
        <f t="shared" si="17"/>
        <v>E53_G263</v>
      </c>
    </row>
    <row r="266" ht="12.800000000000001" customHeight="1">
      <c r="A266">
        <v>2745911</v>
      </c>
      <c r="E266" t="s">
        <v>1148</v>
      </c>
      <c r="F266" t="s">
        <v>1149</v>
      </c>
      <c r="G266" t="s">
        <v>567</v>
      </c>
      <c r="H266" t="s">
        <v>1149</v>
      </c>
      <c r="I266">
        <f t="shared" si="18"/>
        <v>264</v>
      </c>
      <c r="J266" t="str">
        <f t="shared" si="17"/>
        <v>E53_G264</v>
      </c>
    </row>
    <row r="267" ht="12.800000000000001" customHeight="1">
      <c r="A267">
        <v>2610734</v>
      </c>
      <c r="E267" t="s">
        <v>1150</v>
      </c>
      <c r="F267" t="s">
        <v>1151</v>
      </c>
      <c r="G267" t="s">
        <v>1090</v>
      </c>
      <c r="H267" t="s">
        <v>1151</v>
      </c>
      <c r="I267">
        <f t="shared" si="18"/>
        <v>265</v>
      </c>
      <c r="J267" t="str">
        <f t="shared" si="17"/>
        <v>E53_G265</v>
      </c>
    </row>
    <row r="268" ht="12.800000000000001" customHeight="1">
      <c r="A268">
        <v>726050</v>
      </c>
      <c r="E268" t="s">
        <v>1152</v>
      </c>
      <c r="F268" t="s">
        <v>1153</v>
      </c>
      <c r="G268" t="s">
        <v>901</v>
      </c>
      <c r="H268" t="s">
        <v>1154</v>
      </c>
      <c r="I268">
        <f t="shared" si="18"/>
        <v>266</v>
      </c>
      <c r="J268" t="str">
        <f t="shared" si="17"/>
        <v>E53_G266</v>
      </c>
    </row>
    <row r="269" ht="12.800000000000001" customHeight="1">
      <c r="A269">
        <v>632979</v>
      </c>
      <c r="E269" t="s">
        <v>1155</v>
      </c>
      <c r="F269" t="s">
        <v>1156</v>
      </c>
      <c r="G269" t="s">
        <v>744</v>
      </c>
      <c r="H269" t="s">
        <v>1156</v>
      </c>
      <c r="I269">
        <f t="shared" si="18"/>
        <v>267</v>
      </c>
      <c r="J269" t="str">
        <f t="shared" si="17"/>
        <v>E53_G267</v>
      </c>
    </row>
    <row r="270" ht="12.800000000000001" customHeight="1">
      <c r="A270">
        <v>2784822</v>
      </c>
      <c r="E270" t="s">
        <v>1157</v>
      </c>
      <c r="F270" t="s">
        <v>1158</v>
      </c>
      <c r="G270" t="s">
        <v>637</v>
      </c>
      <c r="H270" t="s">
        <v>1158</v>
      </c>
      <c r="I270">
        <f t="shared" si="18"/>
        <v>268</v>
      </c>
      <c r="J270" t="str">
        <f t="shared" si="17"/>
        <v>E53_G268</v>
      </c>
    </row>
    <row r="271" ht="12.800000000000001" customHeight="1">
      <c r="A271">
        <v>3187505</v>
      </c>
      <c r="E271" t="s">
        <v>1159</v>
      </c>
      <c r="F271" t="s">
        <v>1160</v>
      </c>
      <c r="G271" t="s">
        <v>799</v>
      </c>
      <c r="H271" t="s">
        <v>1160</v>
      </c>
      <c r="I271">
        <f t="shared" si="18"/>
        <v>269</v>
      </c>
      <c r="J271" t="str">
        <f t="shared" si="17"/>
        <v>E53_G269</v>
      </c>
    </row>
    <row r="272" ht="12.800000000000001" customHeight="1">
      <c r="A272">
        <v>616051</v>
      </c>
      <c r="E272" t="s">
        <v>1161</v>
      </c>
      <c r="F272" t="s">
        <v>1162</v>
      </c>
      <c r="G272" t="s">
        <v>1163</v>
      </c>
      <c r="H272" t="s">
        <v>1164</v>
      </c>
      <c r="I272">
        <f t="shared" si="18"/>
        <v>270</v>
      </c>
      <c r="J272" t="str">
        <f t="shared" si="17"/>
        <v>E53_G270</v>
      </c>
    </row>
  </sheetData>
  <autoFilter ref="A1:H235"/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Roman,Normalny"&amp;12&amp;Kffffff&amp;A</oddHeader>
    <oddFooter>&amp;C&amp;"Times New Roman,Normalny"&amp;12&amp;KffffffPage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10" workbookViewId="0">
      <pane ySplit="1" topLeftCell="A2" activePane="bottomLeft" state="frozen"/>
      <selection activeCell="G4" activeCellId="0" sqref="G4"/>
    </sheetView>
  </sheetViews>
  <sheetFormatPr defaultColWidth="11.53515625" defaultRowHeight="13.800000000000001" customHeight="1"/>
  <cols>
    <col customWidth="1" min="1" max="1" style="0" width="15.32"/>
    <col customWidth="1" min="2" max="2" style="0" width="22.699999999999999"/>
    <col customWidth="1" min="3" max="3" style="0" width="23.140000000000001"/>
    <col customWidth="1" min="4" max="4" style="0" width="12.94"/>
    <col customWidth="1" min="5" max="5" style="0" width="10.66"/>
  </cols>
  <sheetData>
    <row r="1" ht="14.25">
      <c r="A1" s="5" t="s">
        <v>0</v>
      </c>
      <c r="B1" s="5" t="s">
        <v>553</v>
      </c>
      <c r="C1" s="5" t="s">
        <v>554</v>
      </c>
      <c r="D1" s="5" t="s">
        <v>1</v>
      </c>
      <c r="E1" s="5" t="s">
        <v>552</v>
      </c>
      <c r="F1" s="5" t="s">
        <v>2</v>
      </c>
    </row>
    <row r="2" ht="14.25">
      <c r="A2" t="s">
        <v>1165</v>
      </c>
      <c r="B2" t="s">
        <v>1070</v>
      </c>
      <c r="C2" t="s">
        <v>1071</v>
      </c>
      <c r="D2">
        <v>1526384</v>
      </c>
      <c r="E2" t="s">
        <v>1069</v>
      </c>
      <c r="F2" t="str">
        <f>VLOOKUP(E2,data!E:J,6,FALSE())</f>
        <v>E53_G234</v>
      </c>
    </row>
    <row r="3" ht="14.25">
      <c r="A3" t="s">
        <v>20</v>
      </c>
      <c r="B3" t="s">
        <v>20</v>
      </c>
      <c r="C3" t="s">
        <v>567</v>
      </c>
      <c r="D3">
        <v>2759794</v>
      </c>
      <c r="E3" t="s">
        <v>566</v>
      </c>
      <c r="F3" t="str">
        <f>VLOOKUP(E3,data!E:J,6,FALSE())</f>
        <v>E53_G2</v>
      </c>
    </row>
    <row r="4" ht="14.25">
      <c r="A4" t="s">
        <v>574</v>
      </c>
      <c r="B4" t="s">
        <v>574</v>
      </c>
      <c r="C4" t="s">
        <v>575</v>
      </c>
      <c r="D4">
        <v>264371</v>
      </c>
      <c r="E4" t="s">
        <v>577</v>
      </c>
      <c r="F4" t="str">
        <f>VLOOKUP(E4,data!E:J,6,FALSE())</f>
        <v>E53_G5</v>
      </c>
    </row>
    <row r="5" ht="14.25">
      <c r="A5" t="s">
        <v>578</v>
      </c>
      <c r="B5" t="s">
        <v>578</v>
      </c>
      <c r="C5" t="s">
        <v>579</v>
      </c>
      <c r="D5">
        <v>587081</v>
      </c>
      <c r="E5" t="s">
        <v>580</v>
      </c>
      <c r="F5" t="str">
        <f>VLOOKUP(E5,data!E:J,6,FALSE())</f>
        <v>E53_G6</v>
      </c>
    </row>
    <row r="6" ht="14.25">
      <c r="A6" t="s">
        <v>1074</v>
      </c>
      <c r="B6" t="s">
        <v>1074</v>
      </c>
      <c r="C6" t="s">
        <v>602</v>
      </c>
      <c r="D6">
        <v>6557677</v>
      </c>
      <c r="E6" t="s">
        <v>1073</v>
      </c>
      <c r="F6" t="str">
        <f>VLOOKUP(E6,data!E:J,6,FALSE())</f>
        <v>E53_G235</v>
      </c>
    </row>
    <row r="7" ht="14.25">
      <c r="A7" t="s">
        <v>111</v>
      </c>
      <c r="B7" t="s">
        <v>111</v>
      </c>
      <c r="C7" t="s">
        <v>586</v>
      </c>
      <c r="D7">
        <v>6356055</v>
      </c>
      <c r="E7" t="s">
        <v>587</v>
      </c>
      <c r="F7" t="str">
        <f>VLOOKUP(E7,data!E:J,6,FALSE())</f>
        <v>E53_G9</v>
      </c>
    </row>
    <row r="8" ht="14.25">
      <c r="A8" t="s">
        <v>1076</v>
      </c>
      <c r="B8" t="s">
        <v>1076</v>
      </c>
      <c r="C8" t="s">
        <v>563</v>
      </c>
      <c r="D8">
        <v>1510853</v>
      </c>
      <c r="E8" t="s">
        <v>1075</v>
      </c>
      <c r="F8" t="str">
        <f>VLOOKUP(E8,data!E:J,6,FALSE())</f>
        <v>E53_G236</v>
      </c>
    </row>
    <row r="9" ht="14.25">
      <c r="A9" t="s">
        <v>598</v>
      </c>
      <c r="B9" t="s">
        <v>598</v>
      </c>
      <c r="C9" t="s">
        <v>599</v>
      </c>
      <c r="D9">
        <v>792680</v>
      </c>
      <c r="E9" t="s">
        <v>601</v>
      </c>
      <c r="F9" t="str">
        <f>VLOOKUP(E9,data!E:J,6,FALSE())</f>
        <v>E53_G13</v>
      </c>
    </row>
    <row r="10" ht="14.25">
      <c r="A10" t="s">
        <v>1166</v>
      </c>
      <c r="B10" t="s">
        <v>28</v>
      </c>
      <c r="C10" t="s">
        <v>602</v>
      </c>
      <c r="D10">
        <v>2950159</v>
      </c>
      <c r="E10" t="s">
        <v>603</v>
      </c>
      <c r="F10" t="str">
        <f>VLOOKUP(E10,data!E:J,6,FALSE())</f>
        <v>E53_G14</v>
      </c>
    </row>
    <row r="11" ht="14.25">
      <c r="A11" t="s">
        <v>28</v>
      </c>
      <c r="B11" t="s">
        <v>28</v>
      </c>
      <c r="C11" t="s">
        <v>602</v>
      </c>
      <c r="D11">
        <v>2950159</v>
      </c>
      <c r="E11" t="s">
        <v>603</v>
      </c>
      <c r="F11" t="str">
        <f>VLOOKUP(E11,data!E:J,6,FALSE())</f>
        <v>E53_G14</v>
      </c>
    </row>
    <row r="12" ht="14.25">
      <c r="A12" t="s">
        <v>604</v>
      </c>
      <c r="B12" t="s">
        <v>119</v>
      </c>
      <c r="C12" t="s">
        <v>605</v>
      </c>
      <c r="D12">
        <v>776069</v>
      </c>
      <c r="E12" t="s">
        <v>606</v>
      </c>
      <c r="F12" t="str">
        <f>VLOOKUP(E12,data!E:J,6,FALSE())</f>
        <v>E53_G15</v>
      </c>
    </row>
    <row r="13" ht="14.25">
      <c r="A13" t="s">
        <v>119</v>
      </c>
      <c r="B13" t="s">
        <v>119</v>
      </c>
      <c r="C13" t="s">
        <v>605</v>
      </c>
      <c r="D13">
        <v>776069</v>
      </c>
      <c r="E13" t="s">
        <v>606</v>
      </c>
      <c r="F13" t="str">
        <f>VLOOKUP(E13,data!E:J,6,FALSE())</f>
        <v>E53_G15</v>
      </c>
    </row>
    <row r="14" ht="14.25">
      <c r="A14" t="s">
        <v>129</v>
      </c>
      <c r="B14" t="s">
        <v>129</v>
      </c>
      <c r="C14" t="s">
        <v>583</v>
      </c>
      <c r="D14">
        <v>3060972</v>
      </c>
      <c r="E14" t="s">
        <v>626</v>
      </c>
      <c r="F14" t="str">
        <f>VLOOKUP(E14,data!E:J,6,FALSE())</f>
        <v>E53_G23</v>
      </c>
    </row>
    <row r="15" ht="14.25">
      <c r="A15" t="s">
        <v>641</v>
      </c>
      <c r="B15" t="s">
        <v>641</v>
      </c>
      <c r="C15" t="s">
        <v>621</v>
      </c>
      <c r="D15">
        <v>683506</v>
      </c>
      <c r="E15" t="s">
        <v>643</v>
      </c>
      <c r="F15" t="str">
        <f>VLOOKUP(E15,data!E:J,6,FALSE())</f>
        <v>E53_G29</v>
      </c>
    </row>
    <row r="16" ht="14.25">
      <c r="A16" t="s">
        <v>88</v>
      </c>
      <c r="B16" t="s">
        <v>88</v>
      </c>
      <c r="C16" t="s">
        <v>644</v>
      </c>
      <c r="D16">
        <v>3054643</v>
      </c>
      <c r="E16" t="s">
        <v>646</v>
      </c>
      <c r="F16" t="str">
        <f>VLOOKUP(E16,data!E:J,6,FALSE())</f>
        <v>E53_G30</v>
      </c>
    </row>
    <row r="17" ht="14.25">
      <c r="A17" t="s">
        <v>44</v>
      </c>
      <c r="B17" t="s">
        <v>44</v>
      </c>
      <c r="C17" t="s">
        <v>647</v>
      </c>
      <c r="D17">
        <v>3435910</v>
      </c>
      <c r="E17" t="s">
        <v>648</v>
      </c>
      <c r="F17" t="str">
        <f>VLOOKUP(E17,data!E:J,6,FALSE())</f>
        <v>E53_G31</v>
      </c>
    </row>
    <row r="18" ht="14.25">
      <c r="A18" t="s">
        <v>1079</v>
      </c>
      <c r="B18" t="s">
        <v>1079</v>
      </c>
      <c r="C18" t="s">
        <v>799</v>
      </c>
      <c r="D18">
        <v>3202781</v>
      </c>
      <c r="E18" t="s">
        <v>1078</v>
      </c>
      <c r="F18" t="str">
        <f>VLOOKUP(E18,data!E:J,6,FALSE())</f>
        <v>E53_G237</v>
      </c>
    </row>
    <row r="19" ht="14.25">
      <c r="A19" t="s">
        <v>1081</v>
      </c>
      <c r="B19" t="s">
        <v>1081</v>
      </c>
      <c r="C19" t="s">
        <v>563</v>
      </c>
      <c r="D19">
        <v>569154</v>
      </c>
      <c r="E19" t="s">
        <v>1080</v>
      </c>
      <c r="F19" t="str">
        <f>VLOOKUP(E19,data!E:J,6,FALSE())</f>
        <v>E53_G238</v>
      </c>
    </row>
    <row r="20" ht="14.25">
      <c r="A20" t="s">
        <v>1084</v>
      </c>
      <c r="B20" t="s">
        <v>1084</v>
      </c>
      <c r="C20" t="s">
        <v>563</v>
      </c>
      <c r="D20">
        <v>2025339</v>
      </c>
      <c r="E20" t="s">
        <v>1083</v>
      </c>
      <c r="F20" t="str">
        <f>VLOOKUP(E20,data!E:J,6,FALSE())</f>
        <v>E53_G239</v>
      </c>
    </row>
    <row r="21" ht="14.25">
      <c r="A21" t="s">
        <v>1087</v>
      </c>
      <c r="B21" t="s">
        <v>1087</v>
      </c>
      <c r="C21" t="s">
        <v>605</v>
      </c>
      <c r="D21">
        <v>774367</v>
      </c>
      <c r="E21" t="s">
        <v>1086</v>
      </c>
      <c r="F21" t="str">
        <f>VLOOKUP(E21,data!E:J,6,FALSE())</f>
        <v>E53_G240</v>
      </c>
    </row>
    <row r="22" ht="14.25">
      <c r="A22" t="s">
        <v>1167</v>
      </c>
      <c r="B22" t="s">
        <v>666</v>
      </c>
      <c r="C22" t="s">
        <v>621</v>
      </c>
      <c r="D22">
        <v>8334955</v>
      </c>
      <c r="E22" t="s">
        <v>668</v>
      </c>
      <c r="F22" t="str">
        <f>VLOOKUP(E22,data!E:J,6,FALSE())</f>
        <v>E53_G42</v>
      </c>
    </row>
    <row r="23" ht="14.25">
      <c r="A23" t="s">
        <v>669</v>
      </c>
      <c r="B23" t="s">
        <v>669</v>
      </c>
      <c r="C23" t="s">
        <v>602</v>
      </c>
      <c r="D23">
        <v>3247451</v>
      </c>
      <c r="E23" t="s">
        <v>671</v>
      </c>
      <c r="F23" t="str">
        <f>VLOOKUP(E23,data!E:J,6,FALSE())</f>
        <v>E53_G43</v>
      </c>
    </row>
    <row r="24" ht="14.25">
      <c r="A24" t="s">
        <v>1089</v>
      </c>
      <c r="B24" t="s">
        <v>1089</v>
      </c>
      <c r="C24" t="s">
        <v>1090</v>
      </c>
      <c r="D24">
        <v>2618425</v>
      </c>
      <c r="E24" t="s">
        <v>1088</v>
      </c>
      <c r="F24" t="str">
        <f>VLOOKUP(E24,data!E:J,6,FALSE())</f>
        <v>E53_G241</v>
      </c>
    </row>
    <row r="25" ht="14.25">
      <c r="A25" t="s">
        <v>438</v>
      </c>
      <c r="B25" t="s">
        <v>507</v>
      </c>
      <c r="C25" t="s">
        <v>605</v>
      </c>
      <c r="D25">
        <v>3094802</v>
      </c>
      <c r="E25" t="s">
        <v>778</v>
      </c>
      <c r="F25" t="str">
        <f>VLOOKUP(E25,data!E:J,6,FALSE())</f>
        <v>E53_G96</v>
      </c>
    </row>
    <row r="26" ht="14.25">
      <c r="A26" t="s">
        <v>685</v>
      </c>
      <c r="B26" t="s">
        <v>685</v>
      </c>
      <c r="C26" t="s">
        <v>682</v>
      </c>
      <c r="D26">
        <v>709717</v>
      </c>
      <c r="E26" t="s">
        <v>687</v>
      </c>
      <c r="F26" t="str">
        <f>VLOOKUP(E26,data!E:J,6,FALSE())</f>
        <v>E53_G50</v>
      </c>
    </row>
    <row r="27" ht="14.25">
      <c r="A27" t="s">
        <v>387</v>
      </c>
      <c r="B27" t="s">
        <v>387</v>
      </c>
      <c r="C27" t="s">
        <v>602</v>
      </c>
      <c r="D27">
        <v>2934246</v>
      </c>
      <c r="E27" t="s">
        <v>699</v>
      </c>
      <c r="F27" t="str">
        <f>VLOOKUP(E27,data!E:J,6,FALSE())</f>
        <v>E53_G56</v>
      </c>
    </row>
    <row r="28" ht="14.25">
      <c r="A28" t="s">
        <v>146</v>
      </c>
      <c r="B28" t="s">
        <v>146</v>
      </c>
      <c r="C28" t="s">
        <v>581</v>
      </c>
      <c r="D28">
        <v>4891382</v>
      </c>
      <c r="E28" t="s">
        <v>704</v>
      </c>
      <c r="F28" t="str">
        <f>VLOOKUP(E28,data!E:J,6,FALSE())</f>
        <v>E53_G60</v>
      </c>
    </row>
    <row r="29" ht="14.25">
      <c r="A29" t="s">
        <v>1168</v>
      </c>
      <c r="B29" t="s">
        <v>146</v>
      </c>
      <c r="C29" t="s">
        <v>581</v>
      </c>
      <c r="D29">
        <v>4891382</v>
      </c>
      <c r="E29" t="s">
        <v>704</v>
      </c>
      <c r="F29" t="str">
        <f>VLOOKUP(E29,data!E:J,6,FALSE())</f>
        <v>E53_G60</v>
      </c>
    </row>
    <row r="30" ht="14.25">
      <c r="A30" t="s">
        <v>710</v>
      </c>
      <c r="B30" t="s">
        <v>710</v>
      </c>
      <c r="C30" t="s">
        <v>602</v>
      </c>
      <c r="D30">
        <v>2925533</v>
      </c>
      <c r="E30" t="s">
        <v>716</v>
      </c>
      <c r="F30" t="str">
        <f>VLOOKUP(E30,data!E:J,6,FALSE())</f>
        <v>E53_G65</v>
      </c>
    </row>
    <row r="31" ht="14.25">
      <c r="A31" t="s">
        <v>714</v>
      </c>
      <c r="B31" t="s">
        <v>710</v>
      </c>
      <c r="C31" t="s">
        <v>602</v>
      </c>
      <c r="D31">
        <v>2925533</v>
      </c>
      <c r="E31" t="s">
        <v>716</v>
      </c>
      <c r="F31" t="str">
        <f>VLOOKUP(E31,data!E:J,6,FALSE())</f>
        <v>E53_G65</v>
      </c>
    </row>
    <row r="32" ht="14.25">
      <c r="A32" t="s">
        <v>1169</v>
      </c>
      <c r="B32" t="s">
        <v>609</v>
      </c>
      <c r="C32" t="s">
        <v>610</v>
      </c>
      <c r="D32">
        <v>1528334</v>
      </c>
      <c r="E32" t="s">
        <v>612</v>
      </c>
      <c r="F32" t="str">
        <f>VLOOKUP(E32,data!E:J,6,FALSE())</f>
        <v>E53_G17</v>
      </c>
    </row>
    <row r="33" ht="14.25">
      <c r="A33" t="s">
        <v>159</v>
      </c>
      <c r="B33" t="s">
        <v>159</v>
      </c>
      <c r="C33" t="s">
        <v>602</v>
      </c>
      <c r="D33">
        <v>2911298</v>
      </c>
      <c r="E33" t="s">
        <v>733</v>
      </c>
      <c r="F33" t="str">
        <f>VLOOKUP(E33,data!E:J,6,FALSE())</f>
        <v>E53_G76</v>
      </c>
    </row>
    <row r="34" ht="14.25">
      <c r="A34" t="s">
        <v>161</v>
      </c>
      <c r="B34" t="s">
        <v>439</v>
      </c>
      <c r="C34" t="s">
        <v>602</v>
      </c>
      <c r="D34">
        <v>6559065</v>
      </c>
      <c r="E34" t="s">
        <v>738</v>
      </c>
      <c r="F34" t="str">
        <f>VLOOKUP(E34,data!E:J,6,FALSE())</f>
        <v>E53_G78</v>
      </c>
    </row>
    <row r="35" ht="14.25">
      <c r="A35" t="s">
        <v>163</v>
      </c>
      <c r="B35" t="s">
        <v>163</v>
      </c>
      <c r="C35" t="s">
        <v>589</v>
      </c>
      <c r="D35">
        <v>6951076</v>
      </c>
      <c r="E35" t="s">
        <v>739</v>
      </c>
      <c r="F35" t="str">
        <f>VLOOKUP(E35,data!E:J,6,FALSE())</f>
        <v>E53_G79</v>
      </c>
    </row>
    <row r="36" ht="14.25">
      <c r="A36" t="s">
        <v>493</v>
      </c>
      <c r="B36" t="s">
        <v>493</v>
      </c>
      <c r="C36" t="s">
        <v>744</v>
      </c>
      <c r="D36">
        <v>658225</v>
      </c>
      <c r="E36" t="s">
        <v>745</v>
      </c>
      <c r="F36" t="str">
        <f>VLOOKUP(E36,data!E:J,6,FALSE())</f>
        <v>E53_G81</v>
      </c>
    </row>
    <row r="37" ht="14.25">
      <c r="A37" t="s">
        <v>1170</v>
      </c>
      <c r="B37" t="s">
        <v>749</v>
      </c>
      <c r="C37" t="s">
        <v>753</v>
      </c>
      <c r="D37">
        <v>745044</v>
      </c>
      <c r="E37" t="s">
        <v>752</v>
      </c>
      <c r="F37" t="str">
        <f>VLOOKUP(E37,data!E:J,6,FALSE())</f>
        <v>E53_G83</v>
      </c>
    </row>
    <row r="38" ht="14.25">
      <c r="A38" t="s">
        <v>1093</v>
      </c>
      <c r="B38" t="s">
        <v>1093</v>
      </c>
      <c r="C38" t="s">
        <v>563</v>
      </c>
      <c r="D38">
        <v>2023469</v>
      </c>
      <c r="E38" t="s">
        <v>1092</v>
      </c>
      <c r="F38" t="str">
        <f>VLOOKUP(E38,data!E:J,6,FALSE())</f>
        <v>E53_G242</v>
      </c>
    </row>
    <row r="39" ht="14.25">
      <c r="A39" t="s">
        <v>749</v>
      </c>
      <c r="B39" t="s">
        <v>749</v>
      </c>
      <c r="C39" t="s">
        <v>753</v>
      </c>
      <c r="D39">
        <v>745044</v>
      </c>
      <c r="E39" t="s">
        <v>752</v>
      </c>
      <c r="F39" t="str">
        <f>VLOOKUP(E39,data!E:J,6,FALSE())</f>
        <v>E53_G83</v>
      </c>
    </row>
    <row r="40" ht="14.25">
      <c r="A40" t="s">
        <v>536</v>
      </c>
      <c r="B40" t="s">
        <v>536</v>
      </c>
      <c r="C40" t="s">
        <v>756</v>
      </c>
      <c r="D40">
        <v>281184</v>
      </c>
      <c r="E40" t="s">
        <v>758</v>
      </c>
      <c r="F40" t="str">
        <f>VLOOKUP(E40,data!E:J,6,FALSE())</f>
        <v>E53_G85</v>
      </c>
    </row>
    <row r="41" ht="14.25">
      <c r="A41" t="s">
        <v>169</v>
      </c>
      <c r="B41" t="s">
        <v>169</v>
      </c>
      <c r="C41" t="s">
        <v>605</v>
      </c>
      <c r="D41">
        <v>3096472</v>
      </c>
      <c r="E41" t="s">
        <v>760</v>
      </c>
      <c r="F41" t="str">
        <f>VLOOKUP(E41,data!E:J,6,FALSE())</f>
        <v>E53_G87</v>
      </c>
    </row>
    <row r="42" ht="14.25">
      <c r="A42" t="s">
        <v>171</v>
      </c>
      <c r="B42" t="s">
        <v>171</v>
      </c>
      <c r="C42" t="s">
        <v>761</v>
      </c>
      <c r="D42">
        <v>598316</v>
      </c>
      <c r="E42" t="s">
        <v>763</v>
      </c>
      <c r="F42" t="str">
        <f>VLOOKUP(E42,data!E:J,6,FALSE())</f>
        <v>E53_G88</v>
      </c>
    </row>
    <row r="43" ht="14.25">
      <c r="A43" t="s">
        <v>1096</v>
      </c>
      <c r="B43" t="s">
        <v>1096</v>
      </c>
      <c r="C43" t="s">
        <v>563</v>
      </c>
      <c r="D43">
        <v>1503901</v>
      </c>
      <c r="E43" t="s">
        <v>1095</v>
      </c>
      <c r="F43" t="str">
        <f>VLOOKUP(E43,data!E:J,6,FALSE())</f>
        <v>E53_G243</v>
      </c>
    </row>
    <row r="44" ht="14.25">
      <c r="A44" t="s">
        <v>1171</v>
      </c>
      <c r="B44" t="s">
        <v>447</v>
      </c>
      <c r="C44" t="s">
        <v>682</v>
      </c>
      <c r="D44">
        <v>703448</v>
      </c>
      <c r="E44" t="s">
        <v>788</v>
      </c>
      <c r="F44" t="str">
        <f>VLOOKUP(E44,data!E:J,6,FALSE())</f>
        <v>E53_G100</v>
      </c>
    </row>
    <row r="45" ht="14.25">
      <c r="A45" t="s">
        <v>1172</v>
      </c>
      <c r="B45" t="s">
        <v>1099</v>
      </c>
      <c r="C45" t="s">
        <v>1100</v>
      </c>
      <c r="D45">
        <v>618426</v>
      </c>
      <c r="E45" t="s">
        <v>1098</v>
      </c>
      <c r="F45" t="str">
        <f>VLOOKUP(E45,data!E:J,6,FALSE())</f>
        <v>E53_G244</v>
      </c>
    </row>
    <row r="46" ht="14.25">
      <c r="A46" t="s">
        <v>1173</v>
      </c>
      <c r="B46" t="s">
        <v>1103</v>
      </c>
      <c r="C46" t="s">
        <v>950</v>
      </c>
      <c r="D46">
        <v>2774321</v>
      </c>
      <c r="E46" t="s">
        <v>1102</v>
      </c>
      <c r="F46" t="str">
        <f>VLOOKUP(E46,data!E:J,6,FALSE())</f>
        <v>E53_G245</v>
      </c>
    </row>
    <row r="47" ht="14.25">
      <c r="A47" t="s">
        <v>777</v>
      </c>
      <c r="B47" t="s">
        <v>507</v>
      </c>
      <c r="C47" t="s">
        <v>605</v>
      </c>
      <c r="D47">
        <v>3094802</v>
      </c>
      <c r="E47" t="s">
        <v>778</v>
      </c>
      <c r="F47" t="str">
        <f>VLOOKUP(E47,data!E:J,6,FALSE())</f>
        <v>E53_G96</v>
      </c>
    </row>
    <row r="48" ht="14.25">
      <c r="A48" t="s">
        <v>507</v>
      </c>
      <c r="B48" t="s">
        <v>507</v>
      </c>
      <c r="C48" t="s">
        <v>605</v>
      </c>
      <c r="D48">
        <v>3094802</v>
      </c>
      <c r="E48" t="s">
        <v>778</v>
      </c>
      <c r="F48" t="str">
        <f>VLOOKUP(E48,data!E:J,6,FALSE())</f>
        <v>E53_G96</v>
      </c>
    </row>
    <row r="49" ht="14.25">
      <c r="A49" t="s">
        <v>1105</v>
      </c>
      <c r="B49" t="s">
        <v>1105</v>
      </c>
      <c r="C49" t="s">
        <v>567</v>
      </c>
      <c r="D49">
        <v>2751873</v>
      </c>
      <c r="E49" t="s">
        <v>1104</v>
      </c>
      <c r="F49" t="str">
        <f>VLOOKUP(E49,data!E:J,6,FALSE())</f>
        <v>E53_G246</v>
      </c>
    </row>
    <row r="50" ht="14.25">
      <c r="A50" t="s">
        <v>1107</v>
      </c>
      <c r="B50" t="s">
        <v>1107</v>
      </c>
      <c r="C50" t="s">
        <v>558</v>
      </c>
      <c r="D50">
        <v>7286283</v>
      </c>
      <c r="E50" t="s">
        <v>1106</v>
      </c>
      <c r="F50" t="str">
        <f>VLOOKUP(E50,data!E:J,6,FALSE())</f>
        <v>E53_G247</v>
      </c>
    </row>
    <row r="51" ht="14.25">
      <c r="A51" t="s">
        <v>1174</v>
      </c>
      <c r="B51" t="s">
        <v>962</v>
      </c>
      <c r="C51" t="s">
        <v>563</v>
      </c>
      <c r="D51">
        <v>498817</v>
      </c>
      <c r="E51" t="s">
        <v>961</v>
      </c>
      <c r="F51" t="str">
        <f>VLOOKUP(E51,data!E:J,6,FALSE())</f>
        <v>E53_G183</v>
      </c>
    </row>
    <row r="52" ht="14.25">
      <c r="A52" t="s">
        <v>794</v>
      </c>
      <c r="B52" t="s">
        <v>794</v>
      </c>
      <c r="C52" t="s">
        <v>795</v>
      </c>
      <c r="D52">
        <v>2267057</v>
      </c>
      <c r="E52" t="s">
        <v>797</v>
      </c>
      <c r="F52" t="str">
        <f>VLOOKUP(E52,data!E:J,6,FALSE())</f>
        <v>E53_G103</v>
      </c>
    </row>
    <row r="53" ht="14.25">
      <c r="A53" t="s">
        <v>34</v>
      </c>
      <c r="B53" t="s">
        <v>34</v>
      </c>
      <c r="C53" t="s">
        <v>589</v>
      </c>
      <c r="D53">
        <v>2644210</v>
      </c>
      <c r="E53" t="s">
        <v>798</v>
      </c>
      <c r="F53" t="str">
        <f>VLOOKUP(E53,data!E:J,6,FALSE())</f>
        <v>E53_G104</v>
      </c>
    </row>
    <row r="54" ht="14.25">
      <c r="A54" t="s">
        <v>38</v>
      </c>
      <c r="B54" t="s">
        <v>38</v>
      </c>
      <c r="C54" t="s">
        <v>799</v>
      </c>
      <c r="D54">
        <v>3196359</v>
      </c>
      <c r="E54" t="s">
        <v>801</v>
      </c>
      <c r="F54" t="str">
        <f>VLOOKUP(E54,data!E:J,6,FALSE())</f>
        <v>E53_G105</v>
      </c>
    </row>
    <row r="55" ht="14.25">
      <c r="A55" t="s">
        <v>343</v>
      </c>
      <c r="B55" t="s">
        <v>343</v>
      </c>
      <c r="C55" t="s">
        <v>589</v>
      </c>
      <c r="D55">
        <v>2643743</v>
      </c>
      <c r="E55" t="s">
        <v>805</v>
      </c>
      <c r="F55" t="str">
        <f>VLOOKUP(E55,data!E:J,6,FALSE())</f>
        <v>E53_G107</v>
      </c>
    </row>
    <row r="56" ht="14.25">
      <c r="A56" t="s">
        <v>69</v>
      </c>
      <c r="B56" t="s">
        <v>69</v>
      </c>
      <c r="C56" t="s">
        <v>605</v>
      </c>
      <c r="D56">
        <v>765876</v>
      </c>
      <c r="E56" t="s">
        <v>806</v>
      </c>
      <c r="F56" t="str">
        <f>VLOOKUP(E56,data!E:J,6,FALSE())</f>
        <v>E53_G108</v>
      </c>
    </row>
    <row r="57" ht="14.25">
      <c r="A57" t="s">
        <v>810</v>
      </c>
      <c r="B57" t="s">
        <v>810</v>
      </c>
      <c r="C57" t="s">
        <v>682</v>
      </c>
      <c r="D57">
        <v>702550</v>
      </c>
      <c r="E57" t="s">
        <v>811</v>
      </c>
      <c r="F57" t="str">
        <f>VLOOKUP(E57,data!E:J,6,FALSE())</f>
        <v>E53_G110</v>
      </c>
    </row>
    <row r="58" ht="14.25">
      <c r="A58" t="s">
        <v>1175</v>
      </c>
      <c r="B58" t="s">
        <v>810</v>
      </c>
      <c r="C58" t="s">
        <v>682</v>
      </c>
      <c r="D58">
        <v>702550</v>
      </c>
      <c r="E58" t="s">
        <v>811</v>
      </c>
      <c r="F58" t="str">
        <f>VLOOKUP(E58,data!E:J,6,FALSE())</f>
        <v>E53_G110</v>
      </c>
    </row>
    <row r="59" ht="14.25">
      <c r="A59" t="s">
        <v>189</v>
      </c>
      <c r="B59" t="s">
        <v>189</v>
      </c>
      <c r="C59" t="s">
        <v>586</v>
      </c>
      <c r="D59">
        <v>6359304</v>
      </c>
      <c r="E59" t="s">
        <v>813</v>
      </c>
      <c r="F59" t="str">
        <f>VLOOKUP(E59,data!E:J,6,FALSE())</f>
        <v>E53_G111</v>
      </c>
    </row>
    <row r="60" ht="14.25">
      <c r="A60" t="s">
        <v>191</v>
      </c>
      <c r="B60" t="s">
        <v>191</v>
      </c>
      <c r="C60" t="s">
        <v>632</v>
      </c>
      <c r="D60">
        <v>2692969</v>
      </c>
      <c r="E60" t="s">
        <v>817</v>
      </c>
      <c r="F60" t="str">
        <f>VLOOKUP(E60,data!E:J,6,FALSE())</f>
        <v>E53_G113</v>
      </c>
    </row>
    <row r="61" ht="14.25">
      <c r="A61" t="s">
        <v>1176</v>
      </c>
      <c r="B61" t="s">
        <v>1110</v>
      </c>
      <c r="C61" t="s">
        <v>581</v>
      </c>
      <c r="D61">
        <v>4942807</v>
      </c>
      <c r="E61" t="s">
        <v>1109</v>
      </c>
      <c r="F61" t="str">
        <f>VLOOKUP(E61,data!E:J,6,FALSE())</f>
        <v>E53_G248</v>
      </c>
    </row>
    <row r="62" ht="14.25">
      <c r="A62" t="s">
        <v>42</v>
      </c>
      <c r="B62" t="s">
        <v>42</v>
      </c>
      <c r="C62" t="s">
        <v>795</v>
      </c>
      <c r="D62">
        <v>2266464</v>
      </c>
      <c r="E62" t="s">
        <v>824</v>
      </c>
      <c r="F62" t="str">
        <f>VLOOKUP(E62,data!E:J,6,FALSE())</f>
        <v>E53_G118</v>
      </c>
    </row>
    <row r="63" ht="14.25">
      <c r="A63" t="s">
        <v>831</v>
      </c>
      <c r="B63" t="s">
        <v>831</v>
      </c>
      <c r="C63" t="s">
        <v>613</v>
      </c>
      <c r="D63">
        <v>6542283</v>
      </c>
      <c r="E63" t="s">
        <v>833</v>
      </c>
      <c r="F63" t="str">
        <f>VLOOKUP(E63,data!E:J,6,FALSE())</f>
        <v>E53_G121</v>
      </c>
    </row>
    <row r="64" ht="14.25">
      <c r="A64" t="s">
        <v>1112</v>
      </c>
      <c r="B64" t="s">
        <v>1112</v>
      </c>
      <c r="C64" t="s">
        <v>589</v>
      </c>
      <c r="D64">
        <v>2642465</v>
      </c>
      <c r="E64" t="s">
        <v>1111</v>
      </c>
      <c r="F64" t="str">
        <f>VLOOKUP(E64,data!E:J,6,FALSE())</f>
        <v>E53_G249</v>
      </c>
    </row>
    <row r="65" ht="13.800000000000001">
      <c r="A65" t="s">
        <v>1177</v>
      </c>
      <c r="B65" t="s">
        <v>834</v>
      </c>
      <c r="C65" t="s">
        <v>581</v>
      </c>
      <c r="D65">
        <v>5037649</v>
      </c>
      <c r="E65" t="s">
        <v>835</v>
      </c>
      <c r="F65" t="str">
        <f>VLOOKUP(E65,data!E:J,6,FALSE())</f>
        <v>E53_G122</v>
      </c>
    </row>
    <row r="66" ht="13.800000000000001">
      <c r="A66" t="s">
        <v>836</v>
      </c>
      <c r="B66" t="s">
        <v>836</v>
      </c>
      <c r="C66" t="s">
        <v>747</v>
      </c>
      <c r="D66">
        <v>625143</v>
      </c>
      <c r="E66" t="s">
        <v>838</v>
      </c>
      <c r="F66" t="str">
        <f>VLOOKUP(E66,data!E:J,6,FALSE())</f>
        <v>E53_G123</v>
      </c>
    </row>
    <row r="67" ht="13.800000000000001">
      <c r="A67" t="s">
        <v>842</v>
      </c>
      <c r="B67" t="s">
        <v>842</v>
      </c>
      <c r="C67" t="s">
        <v>649</v>
      </c>
      <c r="D67">
        <v>6077243</v>
      </c>
      <c r="E67" t="s">
        <v>843</v>
      </c>
      <c r="F67" t="str">
        <f>VLOOKUP(E67,data!E:J,6,FALSE())</f>
        <v>E53_G125</v>
      </c>
    </row>
    <row r="68" ht="13.800000000000001">
      <c r="A68" t="s">
        <v>408</v>
      </c>
      <c r="B68" t="s">
        <v>408</v>
      </c>
      <c r="C68" t="s">
        <v>563</v>
      </c>
      <c r="D68">
        <v>524894</v>
      </c>
      <c r="E68" t="s">
        <v>845</v>
      </c>
      <c r="F68" t="str">
        <f>VLOOKUP(E68,data!E:J,6,FALSE())</f>
        <v>E53_G126</v>
      </c>
    </row>
    <row r="69" ht="13.800000000000001">
      <c r="A69" t="s">
        <v>1178</v>
      </c>
      <c r="B69" t="s">
        <v>408</v>
      </c>
      <c r="C69" t="s">
        <v>563</v>
      </c>
      <c r="D69">
        <v>524894</v>
      </c>
      <c r="E69" t="s">
        <v>845</v>
      </c>
      <c r="F69" t="str">
        <f>VLOOKUP(E69,data!E:J,6,FALSE())</f>
        <v>E53_G126</v>
      </c>
    </row>
    <row r="70" ht="13.800000000000001">
      <c r="A70" t="s">
        <v>846</v>
      </c>
      <c r="B70" t="s">
        <v>846</v>
      </c>
      <c r="C70" t="s">
        <v>602</v>
      </c>
      <c r="D70">
        <v>6559171</v>
      </c>
      <c r="E70" t="s">
        <v>848</v>
      </c>
      <c r="F70" t="str">
        <f>VLOOKUP(E70,data!E:J,6,FALSE())</f>
        <v>E53_G127</v>
      </c>
    </row>
    <row r="71" ht="13.800000000000001">
      <c r="A71" t="s">
        <v>71</v>
      </c>
      <c r="B71" t="s">
        <v>846</v>
      </c>
      <c r="C71" t="s">
        <v>602</v>
      </c>
      <c r="D71">
        <v>6559171</v>
      </c>
      <c r="E71" t="s">
        <v>848</v>
      </c>
      <c r="F71" t="str">
        <f>VLOOKUP(E71,data!E:J,6,FALSE())</f>
        <v>E53_G127</v>
      </c>
    </row>
    <row r="72" ht="13.800000000000001">
      <c r="A72" t="s">
        <v>363</v>
      </c>
      <c r="B72" t="s">
        <v>854</v>
      </c>
      <c r="C72" t="s">
        <v>581</v>
      </c>
      <c r="D72">
        <v>5128581</v>
      </c>
      <c r="E72" t="s">
        <v>853</v>
      </c>
      <c r="F72" t="str">
        <f>VLOOKUP(E72,data!E:J,6,FALSE())</f>
        <v>E53_G130</v>
      </c>
    </row>
    <row r="73" ht="13.800000000000001">
      <c r="A73" t="s">
        <v>1114</v>
      </c>
      <c r="B73" t="s">
        <v>1114</v>
      </c>
      <c r="C73" t="s">
        <v>581</v>
      </c>
      <c r="D73">
        <v>5101798</v>
      </c>
      <c r="E73" t="s">
        <v>1113</v>
      </c>
      <c r="F73" t="str">
        <f>VLOOKUP(E73,data!E:J,6,FALSE())</f>
        <v>E53_G250</v>
      </c>
    </row>
    <row r="74" ht="13.800000000000001">
      <c r="A74" t="s">
        <v>1116</v>
      </c>
      <c r="B74" t="s">
        <v>1116</v>
      </c>
      <c r="C74" t="s">
        <v>589</v>
      </c>
      <c r="D74">
        <v>2641557</v>
      </c>
      <c r="E74" t="s">
        <v>1115</v>
      </c>
      <c r="F74" t="str">
        <f>VLOOKUP(E74,data!E:J,6,FALSE())</f>
        <v>E53_G251</v>
      </c>
    </row>
    <row r="75" ht="13.800000000000001">
      <c r="A75" t="s">
        <v>1179</v>
      </c>
      <c r="B75" t="s">
        <v>1118</v>
      </c>
      <c r="C75" t="s">
        <v>563</v>
      </c>
      <c r="D75">
        <v>520555</v>
      </c>
      <c r="E75" t="s">
        <v>1117</v>
      </c>
      <c r="F75" t="str">
        <f>VLOOKUP(E75,data!E:J,6,FALSE())</f>
        <v>E53_G252</v>
      </c>
    </row>
    <row r="76" ht="13.800000000000001">
      <c r="A76" t="s">
        <v>1121</v>
      </c>
      <c r="B76" t="s">
        <v>1121</v>
      </c>
      <c r="C76" t="s">
        <v>581</v>
      </c>
      <c r="D76">
        <v>4839822</v>
      </c>
      <c r="E76" t="s">
        <v>1120</v>
      </c>
      <c r="F76" t="str">
        <f>VLOOKUP(E76,data!E:J,6,FALSE())</f>
        <v>E53_G253</v>
      </c>
    </row>
    <row r="77" ht="13.800000000000001">
      <c r="A77" t="s">
        <v>73</v>
      </c>
      <c r="B77" t="s">
        <v>73</v>
      </c>
      <c r="C77" t="s">
        <v>599</v>
      </c>
      <c r="D77">
        <v>3194360</v>
      </c>
      <c r="E77" t="s">
        <v>865</v>
      </c>
      <c r="F77" t="str">
        <f>VLOOKUP(E77,data!E:J,6,FALSE())</f>
        <v>E53_G135</v>
      </c>
    </row>
    <row r="78" ht="13.800000000000001">
      <c r="A78" t="s">
        <v>1123</v>
      </c>
      <c r="B78" t="s">
        <v>1123</v>
      </c>
      <c r="C78" t="s">
        <v>602</v>
      </c>
      <c r="D78">
        <v>6558425</v>
      </c>
      <c r="E78" t="s">
        <v>1122</v>
      </c>
      <c r="F78" t="str">
        <f>VLOOKUP(E78,data!E:J,6,FALSE())</f>
        <v>E53_G254</v>
      </c>
    </row>
    <row r="79" ht="13.800000000000001">
      <c r="A79" t="s">
        <v>1125</v>
      </c>
      <c r="B79" t="s">
        <v>1125</v>
      </c>
      <c r="C79" t="s">
        <v>1126</v>
      </c>
      <c r="D79">
        <v>3143244</v>
      </c>
      <c r="E79" t="s">
        <v>1124</v>
      </c>
      <c r="F79" t="str">
        <f>VLOOKUP(E79,data!E:J,6,FALSE())</f>
        <v>E53_G255</v>
      </c>
    </row>
    <row r="80" ht="13.800000000000001">
      <c r="A80" t="s">
        <v>1128</v>
      </c>
      <c r="B80" t="s">
        <v>1128</v>
      </c>
      <c r="C80" t="s">
        <v>613</v>
      </c>
      <c r="D80">
        <v>6542127</v>
      </c>
      <c r="E80" t="s">
        <v>1127</v>
      </c>
      <c r="F80" t="str">
        <f>VLOOKUP(E80,data!E:J,6,FALSE())</f>
        <v>E53_G256</v>
      </c>
    </row>
    <row r="81" ht="13.800000000000001">
      <c r="A81" t="s">
        <v>22</v>
      </c>
      <c r="B81" t="s">
        <v>22</v>
      </c>
      <c r="C81" t="s">
        <v>891</v>
      </c>
      <c r="D81">
        <v>2968815</v>
      </c>
      <c r="E81" t="s">
        <v>892</v>
      </c>
      <c r="F81" t="str">
        <f>VLOOKUP(E81,data!E:J,6,FALSE())</f>
        <v>E53_G148</v>
      </c>
    </row>
    <row r="82" ht="13.800000000000001">
      <c r="A82" t="s">
        <v>595</v>
      </c>
      <c r="B82" t="s">
        <v>541</v>
      </c>
      <c r="C82" t="s">
        <v>597</v>
      </c>
      <c r="D82">
        <v>1816670</v>
      </c>
      <c r="E82" t="s">
        <v>596</v>
      </c>
      <c r="F82" t="str">
        <f>VLOOKUP(E82,data!E:J,6,FALSE())</f>
        <v>E53_G12</v>
      </c>
    </row>
    <row r="83" ht="13.800000000000001">
      <c r="A83" t="s">
        <v>900</v>
      </c>
      <c r="B83" t="s">
        <v>900</v>
      </c>
      <c r="C83" t="s">
        <v>901</v>
      </c>
      <c r="D83">
        <v>728193</v>
      </c>
      <c r="E83" t="s">
        <v>903</v>
      </c>
      <c r="F83" t="str">
        <f>VLOOKUP(E83,data!E:J,6,FALSE())</f>
        <v>E53_G152</v>
      </c>
    </row>
    <row r="84" ht="13.800000000000001">
      <c r="A84" t="s">
        <v>912</v>
      </c>
      <c r="B84" t="s">
        <v>912</v>
      </c>
      <c r="C84" t="s">
        <v>631</v>
      </c>
      <c r="D84">
        <v>3067696</v>
      </c>
      <c r="E84" t="s">
        <v>913</v>
      </c>
      <c r="F84" t="str">
        <f>VLOOKUP(E84,data!E:J,6,FALSE())</f>
        <v>E53_G157</v>
      </c>
    </row>
    <row r="85" ht="13.800000000000001">
      <c r="A85" t="s">
        <v>1130</v>
      </c>
      <c r="B85" t="s">
        <v>1130</v>
      </c>
      <c r="C85" t="s">
        <v>602</v>
      </c>
      <c r="D85">
        <v>6557615</v>
      </c>
      <c r="E85" t="s">
        <v>1129</v>
      </c>
      <c r="F85" t="str">
        <f>VLOOKUP(E85,data!E:J,6,FALSE())</f>
        <v>E53_G257</v>
      </c>
    </row>
    <row r="86" ht="13.800000000000001">
      <c r="A86" t="s">
        <v>921</v>
      </c>
      <c r="B86" t="s">
        <v>921</v>
      </c>
      <c r="C86" t="s">
        <v>922</v>
      </c>
      <c r="D86">
        <v>456172</v>
      </c>
      <c r="E86" t="s">
        <v>924</v>
      </c>
      <c r="F86" t="str">
        <f>VLOOKUP(E86,data!E:J,6,FALSE())</f>
        <v>E53_G163</v>
      </c>
    </row>
    <row r="87" ht="13.800000000000001">
      <c r="A87" t="s">
        <v>18</v>
      </c>
      <c r="B87" t="s">
        <v>18</v>
      </c>
      <c r="C87" t="s">
        <v>708</v>
      </c>
      <c r="D87">
        <v>6322060</v>
      </c>
      <c r="E87" t="s">
        <v>925</v>
      </c>
      <c r="F87" t="str">
        <f>VLOOKUP(E87,data!E:J,6,FALSE())</f>
        <v>E53_G164</v>
      </c>
    </row>
    <row r="88" ht="13.800000000000001">
      <c r="A88" t="s">
        <v>235</v>
      </c>
      <c r="B88" t="s">
        <v>237</v>
      </c>
      <c r="C88" t="s">
        <v>613</v>
      </c>
      <c r="D88">
        <v>3169070</v>
      </c>
      <c r="E88" t="s">
        <v>929</v>
      </c>
      <c r="F88" t="str">
        <f>VLOOKUP(E88,data!E:J,6,FALSE())</f>
        <v>E53_G166</v>
      </c>
    </row>
    <row r="89" ht="13.800000000000001">
      <c r="A89" t="s">
        <v>237</v>
      </c>
      <c r="B89" t="s">
        <v>237</v>
      </c>
      <c r="C89" t="s">
        <v>613</v>
      </c>
      <c r="D89">
        <v>3169070</v>
      </c>
      <c r="E89" t="s">
        <v>929</v>
      </c>
      <c r="F89" t="str">
        <f>VLOOKUP(E89,data!E:J,6,FALSE())</f>
        <v>E53_G166</v>
      </c>
    </row>
    <row r="90" ht="13.800000000000001">
      <c r="A90" t="s">
        <v>1180</v>
      </c>
      <c r="B90" t="s">
        <v>931</v>
      </c>
      <c r="C90" t="s">
        <v>563</v>
      </c>
      <c r="D90">
        <v>501175</v>
      </c>
      <c r="E90" t="s">
        <v>933</v>
      </c>
      <c r="F90" t="str">
        <f>VLOOKUP(E90,data!E:J,6,FALSE())</f>
        <v>E53_G168</v>
      </c>
    </row>
    <row r="91" ht="13.800000000000001">
      <c r="A91" t="s">
        <v>938</v>
      </c>
      <c r="B91" t="s">
        <v>938</v>
      </c>
      <c r="C91" t="s">
        <v>563</v>
      </c>
      <c r="D91">
        <v>499099</v>
      </c>
      <c r="E91" t="s">
        <v>939</v>
      </c>
      <c r="F91" t="str">
        <f>VLOOKUP(E91,data!E:J,6,FALSE())</f>
        <v>E53_G172</v>
      </c>
    </row>
    <row r="92" ht="13.800000000000001">
      <c r="A92" t="s">
        <v>1181</v>
      </c>
      <c r="B92" t="s">
        <v>962</v>
      </c>
      <c r="C92" t="s">
        <v>563</v>
      </c>
      <c r="D92">
        <v>498817</v>
      </c>
      <c r="E92" t="s">
        <v>961</v>
      </c>
      <c r="F92" t="str">
        <f>VLOOKUP(E92,data!E:J,6,FALSE())</f>
        <v>E53_G183</v>
      </c>
    </row>
    <row r="93" ht="13.800000000000001">
      <c r="A93" t="s">
        <v>1182</v>
      </c>
      <c r="B93" t="s">
        <v>252</v>
      </c>
      <c r="C93" t="s">
        <v>708</v>
      </c>
      <c r="D93">
        <v>6324358</v>
      </c>
      <c r="E93" t="s">
        <v>943</v>
      </c>
      <c r="F93" t="str">
        <f>VLOOKUP(E93,data!E:J,6,FALSE())</f>
        <v>E53_G175</v>
      </c>
    </row>
    <row r="94" ht="13.800000000000001">
      <c r="A94" t="s">
        <v>1132</v>
      </c>
      <c r="B94" t="s">
        <v>1132</v>
      </c>
      <c r="C94" t="s">
        <v>1133</v>
      </c>
      <c r="D94">
        <v>1835848</v>
      </c>
      <c r="E94" t="s">
        <v>1131</v>
      </c>
      <c r="F94" t="str">
        <f>VLOOKUP(E94,data!E:J,6,FALSE())</f>
        <v>E53_G258</v>
      </c>
    </row>
    <row r="95" ht="13.800000000000001">
      <c r="A95" t="s">
        <v>1136</v>
      </c>
      <c r="B95" t="s">
        <v>1136</v>
      </c>
      <c r="C95" t="s">
        <v>597</v>
      </c>
      <c r="D95">
        <v>1796236</v>
      </c>
      <c r="E95" t="s">
        <v>1135</v>
      </c>
      <c r="F95" t="str">
        <f>VLOOKUP(E95,data!E:J,6,FALSE())</f>
        <v>E53_G259</v>
      </c>
    </row>
    <row r="96" ht="13.800000000000001">
      <c r="A96" t="s">
        <v>952</v>
      </c>
      <c r="B96" t="s">
        <v>952</v>
      </c>
      <c r="C96" t="s">
        <v>953</v>
      </c>
      <c r="D96">
        <v>785842</v>
      </c>
      <c r="E96" t="s">
        <v>954</v>
      </c>
      <c r="F96" t="str">
        <f>VLOOKUP(E96,data!E:J,6,FALSE())</f>
        <v>E53_G179</v>
      </c>
    </row>
    <row r="97" ht="13.800000000000001">
      <c r="A97" t="s">
        <v>241</v>
      </c>
      <c r="B97" t="s">
        <v>241</v>
      </c>
      <c r="C97" t="s">
        <v>901</v>
      </c>
      <c r="D97">
        <v>727011</v>
      </c>
      <c r="E97" t="s">
        <v>956</v>
      </c>
      <c r="F97" t="str">
        <f>VLOOKUP(E97,data!E:J,6,FALSE())</f>
        <v>E53_G181</v>
      </c>
    </row>
    <row r="98" ht="13.800000000000001">
      <c r="A98" t="s">
        <v>1139</v>
      </c>
      <c r="B98" t="s">
        <v>1139</v>
      </c>
      <c r="C98" t="s">
        <v>563</v>
      </c>
      <c r="D98">
        <v>487846</v>
      </c>
      <c r="E98" t="s">
        <v>1138</v>
      </c>
      <c r="F98" t="str">
        <f>VLOOKUP(E98,data!E:J,6,FALSE())</f>
        <v>E53_G260</v>
      </c>
    </row>
    <row r="99" ht="13.800000000000001">
      <c r="A99" t="s">
        <v>246</v>
      </c>
      <c r="B99" t="s">
        <v>246</v>
      </c>
      <c r="C99" t="s">
        <v>632</v>
      </c>
      <c r="D99">
        <v>2673730</v>
      </c>
      <c r="E99" t="s">
        <v>967</v>
      </c>
      <c r="F99" t="str">
        <f>VLOOKUP(E99,data!E:J,6,FALSE())</f>
        <v>E53_G186</v>
      </c>
    </row>
    <row r="100" ht="13.800000000000001">
      <c r="A100" t="s">
        <v>30</v>
      </c>
      <c r="B100" t="s">
        <v>30</v>
      </c>
      <c r="C100" t="s">
        <v>602</v>
      </c>
      <c r="D100">
        <v>6690189</v>
      </c>
      <c r="E100" t="s">
        <v>968</v>
      </c>
      <c r="F100" t="str">
        <f>VLOOKUP(E100,data!E:J,6,FALSE())</f>
        <v>E53_G187</v>
      </c>
    </row>
    <row r="101" ht="13.800000000000001">
      <c r="A101" t="s">
        <v>252</v>
      </c>
      <c r="B101" t="s">
        <v>252</v>
      </c>
      <c r="C101" t="s">
        <v>708</v>
      </c>
      <c r="D101">
        <v>6324358</v>
      </c>
      <c r="E101" t="s">
        <v>943</v>
      </c>
      <c r="F101" t="str">
        <f>VLOOKUP(E101,data!E:J,6,FALSE())</f>
        <v>E53_G175</v>
      </c>
    </row>
    <row r="102" ht="13.800000000000001">
      <c r="A102" t="s">
        <v>1142</v>
      </c>
      <c r="B102" t="s">
        <v>1142</v>
      </c>
      <c r="C102" t="s">
        <v>977</v>
      </c>
      <c r="D102">
        <v>1668341</v>
      </c>
      <c r="E102" t="s">
        <v>1141</v>
      </c>
      <c r="F102" t="str">
        <f>VLOOKUP(E102,data!E:J,6,FALSE())</f>
        <v>E53_G261</v>
      </c>
    </row>
    <row r="103" ht="13.800000000000001">
      <c r="A103" t="s">
        <v>495</v>
      </c>
      <c r="B103" t="s">
        <v>495</v>
      </c>
      <c r="C103" t="s">
        <v>981</v>
      </c>
      <c r="D103">
        <v>588409</v>
      </c>
      <c r="E103" t="s">
        <v>982</v>
      </c>
      <c r="F103" t="str">
        <f>VLOOKUP(E103,data!E:J,6,FALSE())</f>
        <v>E53_G193</v>
      </c>
    </row>
    <row r="104" ht="13.800000000000001">
      <c r="A104" t="s">
        <v>1145</v>
      </c>
      <c r="B104" t="s">
        <v>1145</v>
      </c>
      <c r="C104" t="s">
        <v>592</v>
      </c>
      <c r="D104">
        <v>611716</v>
      </c>
      <c r="E104" t="s">
        <v>1144</v>
      </c>
      <c r="F104" t="str">
        <f>VLOOKUP(E104,data!E:J,6,FALSE())</f>
        <v>E53_G262</v>
      </c>
    </row>
    <row r="105" ht="13.800000000000001">
      <c r="A105" t="s">
        <v>991</v>
      </c>
      <c r="B105" t="s">
        <v>991</v>
      </c>
      <c r="C105" t="s">
        <v>756</v>
      </c>
      <c r="D105">
        <v>293397</v>
      </c>
      <c r="E105" t="s">
        <v>993</v>
      </c>
      <c r="F105" t="str">
        <f>VLOOKUP(E105,data!E:J,6,FALSE())</f>
        <v>E53_G199</v>
      </c>
    </row>
    <row r="106" ht="13.800000000000001">
      <c r="A106" t="s">
        <v>1183</v>
      </c>
      <c r="B106" t="s">
        <v>991</v>
      </c>
      <c r="C106" t="s">
        <v>756</v>
      </c>
      <c r="D106">
        <v>293397</v>
      </c>
      <c r="E106" t="s">
        <v>993</v>
      </c>
      <c r="F106" t="str">
        <f>VLOOKUP(E106,data!E:J,6,FALSE())</f>
        <v>E53_G199</v>
      </c>
    </row>
    <row r="107" ht="13.800000000000001">
      <c r="A107" t="s">
        <v>995</v>
      </c>
      <c r="B107" t="s">
        <v>995</v>
      </c>
      <c r="C107" t="s">
        <v>682</v>
      </c>
      <c r="D107">
        <v>691650</v>
      </c>
      <c r="E107" t="s">
        <v>997</v>
      </c>
      <c r="F107" t="str">
        <f>VLOOKUP(E107,data!E:J,6,FALSE())</f>
        <v>E53_G200</v>
      </c>
    </row>
    <row r="108" ht="13.800000000000001">
      <c r="A108" t="s">
        <v>1147</v>
      </c>
      <c r="B108" t="s">
        <v>1147</v>
      </c>
      <c r="C108" t="s">
        <v>637</v>
      </c>
      <c r="D108">
        <v>2785478</v>
      </c>
      <c r="E108" t="s">
        <v>1146</v>
      </c>
      <c r="F108" t="str">
        <f>VLOOKUP(E108,data!E:J,6,FALSE())</f>
        <v>E53_G263</v>
      </c>
    </row>
    <row r="109" ht="13.800000000000001">
      <c r="A109" t="s">
        <v>1003</v>
      </c>
      <c r="B109" t="s">
        <v>540</v>
      </c>
      <c r="C109" t="s">
        <v>1002</v>
      </c>
      <c r="D109">
        <v>1850144</v>
      </c>
      <c r="E109" t="s">
        <v>1004</v>
      </c>
      <c r="F109" t="str">
        <f>VLOOKUP(E109,data!E:J,6,FALSE())</f>
        <v>E53_G203</v>
      </c>
    </row>
    <row r="110" ht="13.800000000000001">
      <c r="A110" t="s">
        <v>540</v>
      </c>
      <c r="B110" t="s">
        <v>540</v>
      </c>
      <c r="C110" t="s">
        <v>1002</v>
      </c>
      <c r="D110">
        <v>1850144</v>
      </c>
      <c r="E110" t="s">
        <v>1004</v>
      </c>
      <c r="F110" t="str">
        <f>VLOOKUP(E110,data!E:J,6,FALSE())</f>
        <v>E53_G203</v>
      </c>
    </row>
    <row r="111" ht="13.800000000000001">
      <c r="A111" t="s">
        <v>1013</v>
      </c>
      <c r="B111" t="s">
        <v>1013</v>
      </c>
      <c r="C111" t="s">
        <v>613</v>
      </c>
      <c r="D111">
        <v>3165525</v>
      </c>
      <c r="E111" t="s">
        <v>1015</v>
      </c>
      <c r="F111" t="str">
        <f>VLOOKUP(E111,data!E:J,6,FALSE())</f>
        <v>E53_G209</v>
      </c>
    </row>
    <row r="112" ht="13.800000000000001">
      <c r="A112" t="s">
        <v>1149</v>
      </c>
      <c r="B112" t="s">
        <v>1149</v>
      </c>
      <c r="C112" t="s">
        <v>567</v>
      </c>
      <c r="D112">
        <v>2745911</v>
      </c>
      <c r="E112" t="s">
        <v>1148</v>
      </c>
      <c r="F112" t="str">
        <f>VLOOKUP(E112,data!E:J,6,FALSE())</f>
        <v>E53_G264</v>
      </c>
    </row>
    <row r="113" ht="13.800000000000001">
      <c r="A113" t="s">
        <v>1151</v>
      </c>
      <c r="B113" t="s">
        <v>1151</v>
      </c>
      <c r="C113" t="s">
        <v>1090</v>
      </c>
      <c r="D113">
        <v>2610734</v>
      </c>
      <c r="E113" t="s">
        <v>1150</v>
      </c>
      <c r="F113" t="str">
        <f>VLOOKUP(E113,data!E:J,6,FALSE())</f>
        <v>E53_G265</v>
      </c>
    </row>
    <row r="114" ht="13.800000000000001">
      <c r="A114" t="s">
        <v>1153</v>
      </c>
      <c r="B114" t="s">
        <v>1153</v>
      </c>
      <c r="C114" t="s">
        <v>901</v>
      </c>
      <c r="D114">
        <v>726050</v>
      </c>
      <c r="E114" t="s">
        <v>1152</v>
      </c>
      <c r="F114" t="str">
        <f>VLOOKUP(E114,data!E:J,6,FALSE())</f>
        <v>E53_G266</v>
      </c>
    </row>
    <row r="115" ht="13.800000000000001">
      <c r="A115" t="s">
        <v>1184</v>
      </c>
      <c r="B115" t="s">
        <v>1156</v>
      </c>
      <c r="C115" t="s">
        <v>744</v>
      </c>
      <c r="D115">
        <v>632979</v>
      </c>
      <c r="E115" t="s">
        <v>1155</v>
      </c>
      <c r="F115" t="str">
        <f>VLOOKUP(E115,data!E:J,6,FALSE())</f>
        <v>E53_G267</v>
      </c>
    </row>
    <row r="116" ht="13.800000000000001">
      <c r="A116" t="s">
        <v>1158</v>
      </c>
      <c r="B116" t="s">
        <v>1158</v>
      </c>
      <c r="C116" t="s">
        <v>637</v>
      </c>
      <c r="D116">
        <v>2784822</v>
      </c>
      <c r="E116" t="s">
        <v>1157</v>
      </c>
      <c r="F116" t="str">
        <f>VLOOKUP(E116,data!E:J,6,FALSE())</f>
        <v>E53_G268</v>
      </c>
    </row>
    <row r="117" ht="13.800000000000001">
      <c r="A117" t="s">
        <v>86</v>
      </c>
      <c r="B117" t="s">
        <v>86</v>
      </c>
      <c r="C117" t="s">
        <v>761</v>
      </c>
      <c r="D117">
        <v>593116</v>
      </c>
      <c r="E117" t="s">
        <v>1029</v>
      </c>
      <c r="F117" t="str">
        <f>VLOOKUP(E117,data!E:J,6,FALSE())</f>
        <v>E53_G214</v>
      </c>
    </row>
    <row r="118" ht="13.800000000000001">
      <c r="A118" t="s">
        <v>1160</v>
      </c>
      <c r="B118" t="s">
        <v>1160</v>
      </c>
      <c r="C118" t="s">
        <v>799</v>
      </c>
      <c r="D118">
        <v>3187505</v>
      </c>
      <c r="E118" t="s">
        <v>1159</v>
      </c>
      <c r="F118" t="str">
        <f>VLOOKUP(E118,data!E:J,6,FALSE())</f>
        <v>E53_G269</v>
      </c>
    </row>
    <row r="119" ht="13.800000000000001">
      <c r="A119" t="s">
        <v>1033</v>
      </c>
      <c r="B119" t="s">
        <v>1033</v>
      </c>
      <c r="C119" t="s">
        <v>563</v>
      </c>
      <c r="D119">
        <v>472757</v>
      </c>
      <c r="E119" t="s">
        <v>1035</v>
      </c>
      <c r="F119" t="str">
        <f>VLOOKUP(E119,data!E:J,6,FALSE())</f>
        <v>E53_G216</v>
      </c>
    </row>
    <row r="120" ht="13.800000000000001">
      <c r="A120" t="s">
        <v>66</v>
      </c>
      <c r="B120" t="s">
        <v>66</v>
      </c>
      <c r="C120" t="s">
        <v>605</v>
      </c>
      <c r="D120">
        <v>756135</v>
      </c>
      <c r="E120" t="s">
        <v>1039</v>
      </c>
      <c r="F120" t="str">
        <f>VLOOKUP(E120,data!E:J,6,FALSE())</f>
        <v>E53_G218</v>
      </c>
    </row>
    <row r="121" ht="13.800000000000001">
      <c r="A121" t="s">
        <v>1185</v>
      </c>
      <c r="B121" t="s">
        <v>66</v>
      </c>
      <c r="C121" t="s">
        <v>605</v>
      </c>
      <c r="D121">
        <v>756135</v>
      </c>
      <c r="E121" t="s">
        <v>1039</v>
      </c>
      <c r="F121" t="str">
        <f>VLOOKUP(E121,data!E:J,6,FALSE())</f>
        <v>E53_G218</v>
      </c>
    </row>
    <row r="122" ht="13.800000000000001">
      <c r="A122" t="s">
        <v>341</v>
      </c>
      <c r="B122" t="s">
        <v>66</v>
      </c>
      <c r="C122" t="s">
        <v>605</v>
      </c>
      <c r="D122">
        <v>756135</v>
      </c>
      <c r="E122" t="s">
        <v>1039</v>
      </c>
      <c r="F122" t="str">
        <f>VLOOKUP(E122,data!E:J,6,FALSE())</f>
        <v>E53_G218</v>
      </c>
    </row>
    <row r="123" ht="13.800000000000001">
      <c r="A123" t="s">
        <v>1048</v>
      </c>
      <c r="B123" t="s">
        <v>366</v>
      </c>
      <c r="C123" t="s">
        <v>605</v>
      </c>
      <c r="D123">
        <v>7531292</v>
      </c>
      <c r="E123" t="s">
        <v>1049</v>
      </c>
      <c r="F123" t="str">
        <f>VLOOKUP(E123,data!E:J,6,FALSE())</f>
        <v>E53_G224</v>
      </c>
    </row>
    <row r="124" ht="13.800000000000001">
      <c r="A124" t="s">
        <v>366</v>
      </c>
      <c r="B124" t="s">
        <v>366</v>
      </c>
      <c r="C124" t="s">
        <v>605</v>
      </c>
      <c r="D124">
        <v>7531292</v>
      </c>
      <c r="E124" t="s">
        <v>1049</v>
      </c>
      <c r="F124" t="str">
        <f>VLOOKUP(E124,data!E:J,6,FALSE())</f>
        <v>E53_G224</v>
      </c>
    </row>
    <row r="125" ht="13.800000000000001">
      <c r="A125" t="s">
        <v>1162</v>
      </c>
      <c r="B125" t="s">
        <v>1162</v>
      </c>
      <c r="C125" t="s">
        <v>1163</v>
      </c>
      <c r="D125">
        <v>616051</v>
      </c>
      <c r="E125" t="s">
        <v>1161</v>
      </c>
      <c r="F125" t="str">
        <f>VLOOKUP(E125,data!E:J,6,FALSE())</f>
        <v>E53_G270</v>
      </c>
    </row>
    <row r="126" ht="13.800000000000001">
      <c r="A126" t="s">
        <v>289</v>
      </c>
      <c r="B126" t="s">
        <v>289</v>
      </c>
      <c r="C126" t="s">
        <v>1057</v>
      </c>
      <c r="D126">
        <v>3186886</v>
      </c>
      <c r="E126" t="s">
        <v>1059</v>
      </c>
      <c r="F126" t="str">
        <f>VLOOKUP(E126,data!E:J,6,FALSE())</f>
        <v>E53_G228</v>
      </c>
    </row>
    <row r="127" ht="13.800000000000001">
      <c r="A127" t="s">
        <v>301</v>
      </c>
      <c r="B127" t="s">
        <v>301</v>
      </c>
      <c r="C127" t="s">
        <v>605</v>
      </c>
      <c r="D127">
        <v>3093133</v>
      </c>
      <c r="E127" t="s">
        <v>803</v>
      </c>
      <c r="F127" t="str">
        <f>VLOOKUP(E127,data!E:J,6,FALSE())</f>
        <v>E53_G106</v>
      </c>
    </row>
  </sheetData>
  <autoFilter ref="A1:F127"/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Roman,Normalny"&amp;12&amp;Kffffff&amp;A</oddHeader>
    <oddFooter>&amp;C&amp;"Times New Roman,Normalny"&amp;12&amp;KffffffPage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pl-PL</dc:language>
  <cp:revision>19</cp:revision>
  <dcterms:created xsi:type="dcterms:W3CDTF">2025-05-30T12:00:36Z</dcterms:created>
  <dcterms:modified xsi:type="dcterms:W3CDTF">2026-01-13T21:14:33Z</dcterms:modified>
</cp:coreProperties>
</file>